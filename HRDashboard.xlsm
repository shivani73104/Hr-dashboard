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mc:AlternateContent xmlns:mc="http://schemas.openxmlformats.org/markup-compatibility/2006">
    <mc:Choice Requires="x15">
      <x15ac:absPath xmlns:x15ac="http://schemas.microsoft.com/office/spreadsheetml/2010/11/ac" url="C:\Users\shashank\Desktop\Shivani\Excel Assignments\"/>
    </mc:Choice>
  </mc:AlternateContent>
  <xr:revisionPtr revIDLastSave="0" documentId="13_ncr:1_{70EC9150-55B3-4435-B37D-3E71C4AA35F9}" xr6:coauthVersionLast="47" xr6:coauthVersionMax="47" xr10:uidLastSave="{00000000-0000-0000-0000-000000000000}"/>
  <bookViews>
    <workbookView xWindow="-110" yWindow="-110" windowWidth="19420" windowHeight="10300" xr2:uid="{00000000-000D-0000-FFFF-FFFF00000000}"/>
  </bookViews>
  <sheets>
    <sheet name="Dashboard 1" sheetId="6" r:id="rId1"/>
    <sheet name="Analysis 1" sheetId="7" r:id="rId2"/>
    <sheet name="Search 1" sheetId="8" r:id="rId3"/>
    <sheet name="Data" sheetId="5" r:id="rId4"/>
  </sheets>
  <definedNames>
    <definedName name="range">#REF!</definedName>
    <definedName name="Range_search">'Search 1'!$B$6:$L$153</definedName>
    <definedName name="Slicer_Location">#REF!</definedName>
    <definedName name="Slicer_Location1">#N/A</definedName>
    <definedName name="Slicer_Nationality">#REF!</definedName>
    <definedName name="Slicer_Nationality1">#N/A</definedName>
    <definedName name="Slicer_Years">#REF!</definedName>
    <definedName name="Slicer_Years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uri="GoogleSheetsCustomDataVersion1">
      <go:sheetsCustomData xmlns:go="http://customooxmlschemas.google.com/" r:id="rId13" roundtripDataSignature="AMtx7mhIVtFRZiaava+py4MgmrQ5Q1Wchw=="/>
    </ext>
  </extLst>
</workbook>
</file>

<file path=xl/calcChain.xml><?xml version="1.0" encoding="utf-8"?>
<calcChain xmlns="http://schemas.openxmlformats.org/spreadsheetml/2006/main">
  <c r="A1" i="8" l="1"/>
  <c r="R7" i="8" s="1"/>
  <c r="R8" i="8" s="1"/>
  <c r="AH9" i="7"/>
  <c r="AI9" i="7"/>
  <c r="AH10" i="7"/>
  <c r="AI10" i="7"/>
  <c r="AH11" i="7"/>
  <c r="AI11" i="7"/>
  <c r="AI8" i="7"/>
  <c r="AH8" i="7"/>
  <c r="AD9" i="7"/>
  <c r="AE9" i="7"/>
  <c r="AD10" i="7"/>
  <c r="AE10" i="7"/>
  <c r="AD11" i="7"/>
  <c r="AE11" i="7"/>
  <c r="AE8" i="7"/>
  <c r="AD8" i="7"/>
  <c r="V6" i="7"/>
  <c r="S6" i="7"/>
  <c r="A1" i="7"/>
  <c r="O7" i="8" l="1"/>
  <c r="Y7" i="8"/>
  <c r="Y8" i="8" s="1"/>
  <c r="Q7" i="8"/>
  <c r="Q8" i="8" s="1"/>
  <c r="P7" i="8"/>
  <c r="P8" i="8" s="1"/>
  <c r="X7" i="8"/>
  <c r="X8" i="8" s="1"/>
  <c r="W7" i="8"/>
  <c r="W8" i="8" s="1"/>
  <c r="V7" i="8"/>
  <c r="V8" i="8" s="1"/>
  <c r="U7" i="8"/>
  <c r="U8" i="8" s="1"/>
  <c r="T7" i="8"/>
  <c r="T8" i="8" s="1"/>
  <c r="S7" i="8"/>
  <c r="S8" i="8" s="1"/>
  <c r="O8" i="8" l="1"/>
  <c r="O11" i="8" s="1"/>
  <c r="O10" i="8"/>
  <c r="O12" i="8" l="1"/>
  <c r="O13" i="8" s="1"/>
</calcChain>
</file>

<file path=xl/sharedStrings.xml><?xml version="1.0" encoding="utf-8"?>
<sst xmlns="http://schemas.openxmlformats.org/spreadsheetml/2006/main" count="4710" uniqueCount="1276">
  <si>
    <t>Gender</t>
  </si>
  <si>
    <t>Hire Date</t>
  </si>
  <si>
    <t>Age Group</t>
  </si>
  <si>
    <t>Religous Faith</t>
  </si>
  <si>
    <t>Marital Status</t>
  </si>
  <si>
    <t>Location</t>
  </si>
  <si>
    <t>Employment Status</t>
  </si>
  <si>
    <t>Department</t>
  </si>
  <si>
    <t>Job Level</t>
  </si>
  <si>
    <t>Count of Job Level</t>
  </si>
  <si>
    <t>Quarters</t>
  </si>
  <si>
    <t>Designation</t>
  </si>
  <si>
    <t>Cost Center</t>
  </si>
  <si>
    <t>Female</t>
  </si>
  <si>
    <t>31 to 40</t>
  </si>
  <si>
    <t>Christian</t>
  </si>
  <si>
    <t>Divorced</t>
  </si>
  <si>
    <t>Abu Dhabi</t>
  </si>
  <si>
    <t>Active</t>
  </si>
  <si>
    <t>Administration</t>
  </si>
  <si>
    <t>Manager</t>
  </si>
  <si>
    <t>Qtr1</t>
  </si>
  <si>
    <t>Staff</t>
  </si>
  <si>
    <t>Frozen Food</t>
  </si>
  <si>
    <t>Male</t>
  </si>
  <si>
    <t>11-Jan</t>
  </si>
  <si>
    <t>41 to 50</t>
  </si>
  <si>
    <t xml:space="preserve">Hindu </t>
  </si>
  <si>
    <t>Married</t>
  </si>
  <si>
    <t>Amman</t>
  </si>
  <si>
    <t>Inactive</t>
  </si>
  <si>
    <t xml:space="preserve">Finance </t>
  </si>
  <si>
    <t>Non-Manager</t>
  </si>
  <si>
    <t>Qtr2</t>
  </si>
  <si>
    <t>Officer</t>
  </si>
  <si>
    <t>Non-Frozen Food</t>
  </si>
  <si>
    <t>Grand Total</t>
  </si>
  <si>
    <t>13-Jan</t>
  </si>
  <si>
    <t>50 to 60</t>
  </si>
  <si>
    <t>Muslim</t>
  </si>
  <si>
    <t>Single</t>
  </si>
  <si>
    <t>Cairo</t>
  </si>
  <si>
    <t>Human Resources</t>
  </si>
  <si>
    <t>Qtr3</t>
  </si>
  <si>
    <t>Shared Services</t>
  </si>
  <si>
    <t>19-Jan</t>
  </si>
  <si>
    <t>Dubai</t>
  </si>
  <si>
    <t>Information Technology</t>
  </si>
  <si>
    <t>Total</t>
  </si>
  <si>
    <t>Qtr4</t>
  </si>
  <si>
    <t>Senior Executive</t>
  </si>
  <si>
    <t>20-Jan</t>
  </si>
  <si>
    <t>Kuwait</t>
  </si>
  <si>
    <t>Logistics</t>
  </si>
  <si>
    <t>Executive</t>
  </si>
  <si>
    <t>21-Jan</t>
  </si>
  <si>
    <t>London</t>
  </si>
  <si>
    <t>Management</t>
  </si>
  <si>
    <t>Senior Officer</t>
  </si>
  <si>
    <t>23-Jan</t>
  </si>
  <si>
    <t>Manama</t>
  </si>
  <si>
    <t>Marketing</t>
  </si>
  <si>
    <t>President</t>
  </si>
  <si>
    <t>30-Jan</t>
  </si>
  <si>
    <t>Muscat</t>
  </si>
  <si>
    <t>Production</t>
  </si>
  <si>
    <t>Senior Manager</t>
  </si>
  <si>
    <t>Paris</t>
  </si>
  <si>
    <t>Sales</t>
  </si>
  <si>
    <t>Chief Executive</t>
  </si>
  <si>
    <t>Riyadh</t>
  </si>
  <si>
    <t>10-Feb</t>
  </si>
  <si>
    <t>Lagos</t>
  </si>
  <si>
    <t>15-Feb</t>
  </si>
  <si>
    <t>Kogi</t>
  </si>
  <si>
    <t>22-Feb</t>
  </si>
  <si>
    <t>Abuja</t>
  </si>
  <si>
    <t>Kano</t>
  </si>
  <si>
    <t>11-Mar</t>
  </si>
  <si>
    <t>13-Mar</t>
  </si>
  <si>
    <t>24-Mar</t>
  </si>
  <si>
    <t>15-Apr</t>
  </si>
  <si>
    <t>26-Apr</t>
  </si>
  <si>
    <t>20-May</t>
  </si>
  <si>
    <t>21-May</t>
  </si>
  <si>
    <t>31-May</t>
  </si>
  <si>
    <t>17-Jun</t>
  </si>
  <si>
    <t>18-Jun</t>
  </si>
  <si>
    <t>22-Jun</t>
  </si>
  <si>
    <t>15-Jul</t>
  </si>
  <si>
    <t>26-Jul</t>
  </si>
  <si>
    <t>15-Aug</t>
  </si>
  <si>
    <t>22-Aug</t>
  </si>
  <si>
    <t>24-Aug</t>
  </si>
  <si>
    <t>27-Aug</t>
  </si>
  <si>
    <t>10-Sep</t>
  </si>
  <si>
    <t>11-Sep</t>
  </si>
  <si>
    <t>10-Oct</t>
  </si>
  <si>
    <t>15-Oct</t>
  </si>
  <si>
    <t>13-Nov</t>
  </si>
  <si>
    <t>15-Nov</t>
  </si>
  <si>
    <t>17-Nov</t>
  </si>
  <si>
    <t>21-Nov</t>
  </si>
  <si>
    <t>22-Nov</t>
  </si>
  <si>
    <t>30-Nov</t>
  </si>
  <si>
    <t>10-Dec</t>
  </si>
  <si>
    <t>13-Dec</t>
  </si>
  <si>
    <t>21-Dec</t>
  </si>
  <si>
    <t>Full names</t>
  </si>
  <si>
    <t>Salutation</t>
  </si>
  <si>
    <t>Age</t>
  </si>
  <si>
    <t>Nationality</t>
  </si>
  <si>
    <t>Mobile Phone</t>
  </si>
  <si>
    <t>Employment Year</t>
  </si>
  <si>
    <t>Mrs.</t>
  </si>
  <si>
    <t>2009</t>
  </si>
  <si>
    <t>2007</t>
  </si>
  <si>
    <t>2008</t>
  </si>
  <si>
    <t>1992</t>
  </si>
  <si>
    <t>2004</t>
  </si>
  <si>
    <t>1999</t>
  </si>
  <si>
    <t>2010</t>
  </si>
  <si>
    <t>1997</t>
  </si>
  <si>
    <t>2005</t>
  </si>
  <si>
    <t>1990</t>
  </si>
  <si>
    <t>2000</t>
  </si>
  <si>
    <t>1995</t>
  </si>
  <si>
    <t>2002</t>
  </si>
  <si>
    <t>2003</t>
  </si>
  <si>
    <t>2006</t>
  </si>
  <si>
    <t>1998</t>
  </si>
  <si>
    <t>Hasib Sabah Al Hamadi</t>
  </si>
  <si>
    <t>Hatim Ridwan Al Blooki</t>
  </si>
  <si>
    <t>Haydar Riad Al Qubaisi</t>
  </si>
  <si>
    <t>hosni Sad Shaheen</t>
  </si>
  <si>
    <t>hossam Ali Saeed</t>
  </si>
  <si>
    <t>Humaid Khaldoon Al Shamsi</t>
  </si>
  <si>
    <t>Hussain Saif Al Zaabi</t>
  </si>
  <si>
    <t>Ibrahim Mohammad Khader</t>
  </si>
  <si>
    <t>Ilyas Saeed Rahman</t>
  </si>
  <si>
    <t>2001</t>
  </si>
  <si>
    <t>Indra Rajesh Singh</t>
  </si>
  <si>
    <t>Ivan Maniquis Santos</t>
  </si>
  <si>
    <t>Jaber Khalifa Hassan</t>
  </si>
  <si>
    <t>Jack George Daniel</t>
  </si>
  <si>
    <t>Jassim Ali Diya</t>
  </si>
  <si>
    <t>Jay Salvador Magboo</t>
  </si>
  <si>
    <t>Jean Montalbo Gregorio</t>
  </si>
  <si>
    <t>Jenefer Sumera Sanvictores</t>
  </si>
  <si>
    <t>1994</t>
  </si>
  <si>
    <t>Jihad Mustafa Osama</t>
  </si>
  <si>
    <t>Jirbeel Karim Essa</t>
  </si>
  <si>
    <t>Julius Ancaja Reyes</t>
  </si>
  <si>
    <t>Kamal Nath Jasrotia</t>
  </si>
  <si>
    <t>Katie Dylan Alexander</t>
  </si>
  <si>
    <t>Khalid Omar Bustan</t>
  </si>
  <si>
    <t>Khalifa Rashid Al Qarni</t>
  </si>
  <si>
    <t>Koushik Kumar Bhattacharya</t>
  </si>
  <si>
    <t>Krishnamurthy Kumar Pillai</t>
  </si>
  <si>
    <t>Lamya Jihad Qasim</t>
  </si>
  <si>
    <t>1984</t>
  </si>
  <si>
    <t>Loyai samer Ibrahim</t>
  </si>
  <si>
    <t>Madhu Kumar Solanki</t>
  </si>
  <si>
    <t>Maher Khaleel Shafiq</t>
  </si>
  <si>
    <t>Maher Omar Zaahir</t>
  </si>
  <si>
    <t>Majdi Ramz Karim</t>
  </si>
  <si>
    <t>Majid Ramzi Shahab</t>
  </si>
  <si>
    <t>Malek Khalid Rushdi</t>
  </si>
  <si>
    <t>Mamdouh Omar Al Azraq</t>
  </si>
  <si>
    <t>Mansour Yahya Saad</t>
  </si>
  <si>
    <t>Mohammad Ali Mustafa</t>
  </si>
  <si>
    <t>Mohammad Ramzi Al Rumaithi</t>
  </si>
  <si>
    <t>Mosa waleed Salim</t>
  </si>
  <si>
    <t>Mustafa Ali Kamal</t>
  </si>
  <si>
    <t>Najma Shah Heptullah</t>
  </si>
  <si>
    <t>Nino Sison Montalbo</t>
  </si>
  <si>
    <t>Omar Ebrahim Mosa</t>
  </si>
  <si>
    <t>Omran Salah Mohammad</t>
  </si>
  <si>
    <t>Mr.</t>
  </si>
  <si>
    <t>Syria</t>
  </si>
  <si>
    <t>+971 96 5836459</t>
  </si>
  <si>
    <t>Pamela Manalo Rosales</t>
  </si>
  <si>
    <t>Ms.</t>
  </si>
  <si>
    <t>Philippines</t>
  </si>
  <si>
    <t>+971 31 3212364</t>
  </si>
  <si>
    <t>Pradeep K Dinkar</t>
  </si>
  <si>
    <t>India</t>
  </si>
  <si>
    <t>+973 32 3467822</t>
  </si>
  <si>
    <t>Pradeep Singh Katoch</t>
  </si>
  <si>
    <t>+971 26 5121806</t>
  </si>
  <si>
    <t>Pushparaj Vishwanath Shetty</t>
  </si>
  <si>
    <t>+971 61 3107214</t>
  </si>
  <si>
    <t>Raid Hamad Zaabi</t>
  </si>
  <si>
    <t>Egyptian</t>
  </si>
  <si>
    <t>+971 24 9888864</t>
  </si>
  <si>
    <t>Raid Mohammad Mustafa</t>
  </si>
  <si>
    <t>Morocco</t>
  </si>
  <si>
    <t>+971 54 8929360</t>
  </si>
  <si>
    <t>Rakesh Kumar Bhatiya</t>
  </si>
  <si>
    <t>+971 99 8663430</t>
  </si>
  <si>
    <t>Ramesh Vishnu Menon</t>
  </si>
  <si>
    <t>+971 49 7331160</t>
  </si>
  <si>
    <t>Rami Habib Al Huda</t>
  </si>
  <si>
    <t>+971 74 1910009</t>
  </si>
  <si>
    <t>Rangarajan Vasudev Balaji</t>
  </si>
  <si>
    <t>+971 62 7855267</t>
  </si>
  <si>
    <t>Rasha Ahmed Al Roujoob</t>
  </si>
  <si>
    <t>Jordan</t>
  </si>
  <si>
    <t>+973 38 4579860</t>
  </si>
  <si>
    <t>Rasheed Mohammad Reda</t>
  </si>
  <si>
    <t xml:space="preserve">Mr. </t>
  </si>
  <si>
    <t>+971 64 2758210</t>
  </si>
  <si>
    <t>Robbie Adams Williams</t>
  </si>
  <si>
    <t>+971 76 8871052</t>
  </si>
  <si>
    <t>Robert Aguinaldo Aquino</t>
  </si>
  <si>
    <t>+971 55 8922016</t>
  </si>
  <si>
    <t>Roderick Cruz Zabala</t>
  </si>
  <si>
    <t>+971 86 7193970</t>
  </si>
  <si>
    <t>Ronan Cowell Gaile</t>
  </si>
  <si>
    <t>+971 41 4836520</t>
  </si>
  <si>
    <t>Ruby Daniel James</t>
  </si>
  <si>
    <t>United Kingdom</t>
  </si>
  <si>
    <t>+44 78 1528938</t>
  </si>
  <si>
    <t>Sabir Bassam Aziz</t>
  </si>
  <si>
    <t>+971 35 5867306</t>
  </si>
  <si>
    <t>Saeed Haitham Abdullah</t>
  </si>
  <si>
    <t>+971 53 0049368</t>
  </si>
  <si>
    <t>Salim Mohammad Al Shamsi</t>
  </si>
  <si>
    <t>+971 70 1307232</t>
  </si>
  <si>
    <t>Samer Rahman Ali</t>
  </si>
  <si>
    <t>+971 82 7758467</t>
  </si>
  <si>
    <t>Samya Mahfuz Shukri</t>
  </si>
  <si>
    <t>+962 47 3792950</t>
  </si>
  <si>
    <t>Shaheen sameer Saleem</t>
  </si>
  <si>
    <t>+971 83 7313450</t>
  </si>
  <si>
    <t>Shaji S Pillai</t>
  </si>
  <si>
    <t>+971 56 9264536</t>
  </si>
  <si>
    <t>Shazia Hussain Khan</t>
  </si>
  <si>
    <t>+971 46 2716248</t>
  </si>
  <si>
    <t>Sheetal Singh Shetti</t>
  </si>
  <si>
    <t>+971 61 6229287</t>
  </si>
  <si>
    <t>Sindhu Veluthakkal Sugathan</t>
  </si>
  <si>
    <t>+971 52 5241902</t>
  </si>
  <si>
    <t>Sivakumar N Ravichandran</t>
  </si>
  <si>
    <t>+971 86 8345496</t>
  </si>
  <si>
    <t>Sneha Rajendra Thakur</t>
  </si>
  <si>
    <t>+971 78 4277860</t>
  </si>
  <si>
    <t>Stephen Gaitley Peterson</t>
  </si>
  <si>
    <t>+971 56 5561665</t>
  </si>
  <si>
    <t>Suha Kereem Ayesh</t>
  </si>
  <si>
    <t>+971 34 9569960</t>
  </si>
  <si>
    <t>Sujeet Kumar Mitra</t>
  </si>
  <si>
    <t>+965 79 0736102</t>
  </si>
  <si>
    <t>Sunil Balasaheb Tauro</t>
  </si>
  <si>
    <t>+971 28 0470484</t>
  </si>
  <si>
    <t>Sunita Singh Grewal</t>
  </si>
  <si>
    <t>+971 92 2546324</t>
  </si>
  <si>
    <t>Sushil Mohan Kolangde</t>
  </si>
  <si>
    <t>+971 60 7278080</t>
  </si>
  <si>
    <t>Tag Al Sir Hassan Ahmed</t>
  </si>
  <si>
    <t>Sudan</t>
  </si>
  <si>
    <t>+971 96 7168686</t>
  </si>
  <si>
    <t>Tahani Nasir Shukri</t>
  </si>
  <si>
    <t>+962 88 8976978</t>
  </si>
  <si>
    <t>Tahani Yousef Al Zaraq</t>
  </si>
  <si>
    <t>UAE</t>
  </si>
  <si>
    <t>+971 80 2586192</t>
  </si>
  <si>
    <t>Tahir Ghareeb Walid</t>
  </si>
  <si>
    <t>Saudi Arabia</t>
  </si>
  <si>
    <t>+966 25 5456234</t>
  </si>
  <si>
    <t>Tomas Madrigal Santiago</t>
  </si>
  <si>
    <t>+971 39 4915456</t>
  </si>
  <si>
    <t>Vijay Dinanath Chouhan</t>
  </si>
  <si>
    <t>+971 59 0233017</t>
  </si>
  <si>
    <t>Vinod Gangadhar Pillai</t>
  </si>
  <si>
    <t>+971 28 2569048</t>
  </si>
  <si>
    <t>Walid waleed Ali</t>
  </si>
  <si>
    <t>+971 40 3634500</t>
  </si>
  <si>
    <t>Yaqoub Mansoor Loyai</t>
  </si>
  <si>
    <t>Oman</t>
  </si>
  <si>
    <t>+968 33 9917168</t>
  </si>
  <si>
    <t>Yasmin Masoud Abdul Hasseb</t>
  </si>
  <si>
    <t>+962 53 6294660</t>
  </si>
  <si>
    <t>yasser Ali Kamel</t>
  </si>
  <si>
    <t>+971 22 5307734</t>
  </si>
  <si>
    <t>Zayed Bilal Reda</t>
  </si>
  <si>
    <t>+971 95 1572080</t>
  </si>
  <si>
    <t>Ismail Yusha</t>
  </si>
  <si>
    <t>+971 27 9097536</t>
  </si>
  <si>
    <t>Femi Ade Kabil</t>
  </si>
  <si>
    <t>Nigeria</t>
  </si>
  <si>
    <t>+45 55 5290944</t>
  </si>
  <si>
    <t>Salisu Muhammed Bala</t>
  </si>
  <si>
    <t>+974 54 7546970</t>
  </si>
  <si>
    <t>Hadija Kamal T</t>
  </si>
  <si>
    <t>+974 37 1999328</t>
  </si>
  <si>
    <t>Matthew Sam Praise</t>
  </si>
  <si>
    <t>+45 22 9633600</t>
  </si>
  <si>
    <t>Ismail Omeiza Mumin</t>
  </si>
  <si>
    <t>+49 94 6733306</t>
  </si>
  <si>
    <t>Jenet Olawole Titilomo</t>
  </si>
  <si>
    <t>+49 82 7538298</t>
  </si>
  <si>
    <t>Emp_ID</t>
  </si>
  <si>
    <t>First Name</t>
  </si>
  <si>
    <t>Middle Name</t>
  </si>
  <si>
    <t>Last Name</t>
  </si>
  <si>
    <t>Birth Date</t>
  </si>
  <si>
    <t>Office Tel</t>
  </si>
  <si>
    <t>Email</t>
  </si>
  <si>
    <t>E001</t>
  </si>
  <si>
    <t xml:space="preserve">Heng </t>
  </si>
  <si>
    <t>Sorith</t>
  </si>
  <si>
    <t>Qasim</t>
  </si>
  <si>
    <t>+971 69 1846750</t>
  </si>
  <si>
    <t>+971 02 1846750</t>
  </si>
  <si>
    <t>Lamya.Qasim@Rare.com</t>
  </si>
  <si>
    <t>E002</t>
  </si>
  <si>
    <t>Ayman</t>
  </si>
  <si>
    <t>Waleed</t>
  </si>
  <si>
    <t>Ghanem</t>
  </si>
  <si>
    <t>Ayman Waleed Ghanem</t>
  </si>
  <si>
    <t>+962 82 1797294</t>
  </si>
  <si>
    <t>+962 06 1797294</t>
  </si>
  <si>
    <t>Ayman.Ghanem@Rare.com</t>
  </si>
  <si>
    <t>E003</t>
  </si>
  <si>
    <t>Ahlam</t>
  </si>
  <si>
    <t>Ali</t>
  </si>
  <si>
    <t>Mutwali</t>
  </si>
  <si>
    <t>Ahlam Ali Mutwali</t>
  </si>
  <si>
    <t>Palestine</t>
  </si>
  <si>
    <t>+20 68 3395968</t>
  </si>
  <si>
    <t>+20 20 3395968</t>
  </si>
  <si>
    <t>Ahlam.Mutwali@Rare.com</t>
  </si>
  <si>
    <t>E004</t>
  </si>
  <si>
    <t>Ghada</t>
  </si>
  <si>
    <t>Khalid</t>
  </si>
  <si>
    <t>Shadi</t>
  </si>
  <si>
    <t>Ghada Khalid Shadi</t>
  </si>
  <si>
    <t>+20 44 3301080</t>
  </si>
  <si>
    <t>+20 20 3301080</t>
  </si>
  <si>
    <t>Ghada.Shadi@Rare.com</t>
  </si>
  <si>
    <t>E005</t>
  </si>
  <si>
    <t>Pamela</t>
  </si>
  <si>
    <t>Manalo</t>
  </si>
  <si>
    <t>Rosales</t>
  </si>
  <si>
    <t>+971 04 3212364</t>
  </si>
  <si>
    <t>Pamela.Rosales@Rare.com</t>
  </si>
  <si>
    <t>E006</t>
  </si>
  <si>
    <t>Kamal</t>
  </si>
  <si>
    <t>Nath</t>
  </si>
  <si>
    <t>Jasrotia</t>
  </si>
  <si>
    <t>+971 99 4821985</t>
  </si>
  <si>
    <t>+971 04 4821985</t>
  </si>
  <si>
    <t>Kamal.Jasrotia@Rare.com</t>
  </si>
  <si>
    <t>E007</t>
  </si>
  <si>
    <t>Sushil</t>
  </si>
  <si>
    <t>Mohan</t>
  </si>
  <si>
    <t>Kolangde</t>
  </si>
  <si>
    <t>+971 04 7278080</t>
  </si>
  <si>
    <t>Sushil.Kolangde@Rare.com</t>
  </si>
  <si>
    <t>E008</t>
  </si>
  <si>
    <t>Jenefer</t>
  </si>
  <si>
    <t>Sumera</t>
  </si>
  <si>
    <t>Sanvictores</t>
  </si>
  <si>
    <t>+965 39 7313760</t>
  </si>
  <si>
    <t>+965  7313760</t>
  </si>
  <si>
    <t>Jenefer.Sanvictores@Rare.com</t>
  </si>
  <si>
    <t>E009</t>
  </si>
  <si>
    <t>Caridad</t>
  </si>
  <si>
    <t>Sanchez</t>
  </si>
  <si>
    <t>Diaz</t>
  </si>
  <si>
    <t>Caridad Sanchez Diaz</t>
  </si>
  <si>
    <t>+971 28 7681190</t>
  </si>
  <si>
    <t>+971 02 7681190</t>
  </si>
  <si>
    <t>Caridad.Diaz@Rare.com</t>
  </si>
  <si>
    <t>E010</t>
  </si>
  <si>
    <t>Madhu</t>
  </si>
  <si>
    <t>Kumar</t>
  </si>
  <si>
    <t>Solanki</t>
  </si>
  <si>
    <t>+971 64 0820359</t>
  </si>
  <si>
    <t>+971 04 10820359</t>
  </si>
  <si>
    <t>Madhu.Solanki@Rare.com</t>
  </si>
  <si>
    <t>E011</t>
  </si>
  <si>
    <t>Girish</t>
  </si>
  <si>
    <t>Bhatia</t>
  </si>
  <si>
    <t>Girish Kumar Bhatia</t>
  </si>
  <si>
    <t>+971 60 0899840</t>
  </si>
  <si>
    <t>+971 04 10899840</t>
  </si>
  <si>
    <t>Girish.Bhatia@Rare.com</t>
  </si>
  <si>
    <t>E012</t>
  </si>
  <si>
    <t>Bejoy</t>
  </si>
  <si>
    <t>Pal</t>
  </si>
  <si>
    <t>Gangadharan</t>
  </si>
  <si>
    <t>Bejoy Pal Gangadharan</t>
  </si>
  <si>
    <t>+971 72 0118238</t>
  </si>
  <si>
    <t>+971 04 10118238</t>
  </si>
  <si>
    <t>Bejoy.Gangadharan@Rare.com</t>
  </si>
  <si>
    <t>E013</t>
  </si>
  <si>
    <t>Andrew</t>
  </si>
  <si>
    <t>Morales</t>
  </si>
  <si>
    <t>Mercado</t>
  </si>
  <si>
    <t>Andrew Morales Mercado</t>
  </si>
  <si>
    <t>+971 28 1941020</t>
  </si>
  <si>
    <t>+971 02 11941020</t>
  </si>
  <si>
    <t>Andrew.Mercado@Rare.com</t>
  </si>
  <si>
    <t>E014</t>
  </si>
  <si>
    <t>Krishnamurthy</t>
  </si>
  <si>
    <t>Pillai</t>
  </si>
  <si>
    <t>+971 26 1292195</t>
  </si>
  <si>
    <t>+971 04 11292195</t>
  </si>
  <si>
    <t>Krishnamurthy.Pillai@Rare.com</t>
  </si>
  <si>
    <t>E015</t>
  </si>
  <si>
    <t>Zayed</t>
  </si>
  <si>
    <t>Bilal</t>
  </si>
  <si>
    <t>Reda</t>
  </si>
  <si>
    <t>+971 04 11572080</t>
  </si>
  <si>
    <t>Zayed.Reda@Rare.com</t>
  </si>
  <si>
    <t>E016</t>
  </si>
  <si>
    <t>Fernando</t>
  </si>
  <si>
    <t>Mendoza</t>
  </si>
  <si>
    <t>Segundo</t>
  </si>
  <si>
    <t>Fernando Mendoza Segundo</t>
  </si>
  <si>
    <t>+971 56 0968791</t>
  </si>
  <si>
    <t>+971 02 10968791</t>
  </si>
  <si>
    <t>Fernando.Segundo@Rare.com</t>
  </si>
  <si>
    <t>E017</t>
  </si>
  <si>
    <t>Koushik</t>
  </si>
  <si>
    <t>Bhattacharya</t>
  </si>
  <si>
    <t>+971 66 3446072</t>
  </si>
  <si>
    <t>+971 04 13446072</t>
  </si>
  <si>
    <t>Koushik.Bhattacharya@Rare.com</t>
  </si>
  <si>
    <t>E018</t>
  </si>
  <si>
    <t>Mohammad</t>
  </si>
  <si>
    <t>Rami</t>
  </si>
  <si>
    <t>Ahlam Mohammad Rami</t>
  </si>
  <si>
    <t>+962 95 2673114</t>
  </si>
  <si>
    <t>+962 06 12673114</t>
  </si>
  <si>
    <t>Ahlam.Rami@Rare.com</t>
  </si>
  <si>
    <t>E019</t>
  </si>
  <si>
    <t>Yasmin</t>
  </si>
  <si>
    <t>Masoud</t>
  </si>
  <si>
    <t>Abdul Hasseb</t>
  </si>
  <si>
    <t>+962 06 16294660</t>
  </si>
  <si>
    <t>Yasmin.Abdul Hasseb@Rare.com</t>
  </si>
  <si>
    <t>E020</t>
  </si>
  <si>
    <t>Alaa</t>
  </si>
  <si>
    <t>Mustafa</t>
  </si>
  <si>
    <t>Ahmed</t>
  </si>
  <si>
    <t>Alaa Mustafa Ahmed</t>
  </si>
  <si>
    <t>+962 50 5734922</t>
  </si>
  <si>
    <t>+962 06 15734922</t>
  </si>
  <si>
    <t>Alaa.Ahmed@Rare.com</t>
  </si>
  <si>
    <t>E021</t>
  </si>
  <si>
    <t>Besan</t>
  </si>
  <si>
    <t>Yaqoub</t>
  </si>
  <si>
    <t>Omar</t>
  </si>
  <si>
    <t>Besan Yaqoub Omar</t>
  </si>
  <si>
    <t>+20 37 3419736</t>
  </si>
  <si>
    <t>+20 20 13419736</t>
  </si>
  <si>
    <t>Besan.Omar@Rare.com</t>
  </si>
  <si>
    <t>E022</t>
  </si>
  <si>
    <t>Tahani</t>
  </si>
  <si>
    <t>Nasir</t>
  </si>
  <si>
    <t>Shukri</t>
  </si>
  <si>
    <t>+962 06 18976978</t>
  </si>
  <si>
    <t>Tahani.Shukri@Rare.com</t>
  </si>
  <si>
    <t>E023</t>
  </si>
  <si>
    <t>Shaji</t>
  </si>
  <si>
    <t>S</t>
  </si>
  <si>
    <t>+971 04 19264536</t>
  </si>
  <si>
    <t>Shaji.Pillai@Rare.com</t>
  </si>
  <si>
    <t>E024</t>
  </si>
  <si>
    <t>Samya</t>
  </si>
  <si>
    <t>Mahfuz</t>
  </si>
  <si>
    <t>+962 06 13792950</t>
  </si>
  <si>
    <t>Samya.Shukri@Rare.com</t>
  </si>
  <si>
    <t>E025</t>
  </si>
  <si>
    <t>Geeta</t>
  </si>
  <si>
    <t>Dhilip</t>
  </si>
  <si>
    <t>Bijapurkar</t>
  </si>
  <si>
    <t>Geeta Dhilip Bijapurkar</t>
  </si>
  <si>
    <t>+971 95 1960380</t>
  </si>
  <si>
    <t>+971 04 21960380</t>
  </si>
  <si>
    <t>Suraj.Murthy@Rare.com</t>
  </si>
  <si>
    <t>E026</t>
  </si>
  <si>
    <t>Ilyas</t>
  </si>
  <si>
    <t>Saeed</t>
  </si>
  <si>
    <t>Rahman</t>
  </si>
  <si>
    <t>+20 23 2081248</t>
  </si>
  <si>
    <t>+20 20 22081248</t>
  </si>
  <si>
    <t>Ilyas.Rahman@Rare.com</t>
  </si>
  <si>
    <t>E027</t>
  </si>
  <si>
    <t>Femi</t>
  </si>
  <si>
    <t>Ade</t>
  </si>
  <si>
    <t>Kabil</t>
  </si>
  <si>
    <t>+45 45 25290944</t>
  </si>
  <si>
    <t>Femi.AdeKabil@Rare.com</t>
  </si>
  <si>
    <t>E028</t>
  </si>
  <si>
    <t>Jirbeel</t>
  </si>
  <si>
    <t>Karim</t>
  </si>
  <si>
    <t>Essa</t>
  </si>
  <si>
    <t>+962 83 2584040</t>
  </si>
  <si>
    <t>+962 06 22584040</t>
  </si>
  <si>
    <t>Jirbeel.Essa@Rare.com</t>
  </si>
  <si>
    <t>E029</t>
  </si>
  <si>
    <t>Salisu</t>
  </si>
  <si>
    <t>Muhammed</t>
  </si>
  <si>
    <t>Bala</t>
  </si>
  <si>
    <t>+974  17546970</t>
  </si>
  <si>
    <t>Salisu.MuhammedBala@Rare.com</t>
  </si>
  <si>
    <t>E030</t>
  </si>
  <si>
    <t>Ebrahim</t>
  </si>
  <si>
    <t>Mosa</t>
  </si>
  <si>
    <t>+20 74 7940610</t>
  </si>
  <si>
    <t>+20 20 27940610</t>
  </si>
  <si>
    <t>Omar.Mosa@Rare.com</t>
  </si>
  <si>
    <t>E031</t>
  </si>
  <si>
    <t>Hadija</t>
  </si>
  <si>
    <t>Kammal</t>
  </si>
  <si>
    <t>T</t>
  </si>
  <si>
    <t>+974  31999328</t>
  </si>
  <si>
    <t>Hadija.KamalT@Rare.com</t>
  </si>
  <si>
    <t>E032</t>
  </si>
  <si>
    <t xml:space="preserve">Ms. </t>
  </si>
  <si>
    <t>Enas</t>
  </si>
  <si>
    <t>Loyai</t>
  </si>
  <si>
    <t>Enas Loyai Reda</t>
  </si>
  <si>
    <t>+962 50 0064848</t>
  </si>
  <si>
    <t>+962 06 30064848</t>
  </si>
  <si>
    <t>Enas.Reda@Rare.com</t>
  </si>
  <si>
    <t>E033</t>
  </si>
  <si>
    <t>Sujeet</t>
  </si>
  <si>
    <t>Mitra</t>
  </si>
  <si>
    <t>+965  30736102</t>
  </si>
  <si>
    <t>Sujeet.Mitra@Rare.com</t>
  </si>
  <si>
    <t>E034</t>
  </si>
  <si>
    <t xml:space="preserve">Matthew </t>
  </si>
  <si>
    <t>Sam</t>
  </si>
  <si>
    <t>Praise</t>
  </si>
  <si>
    <t>+45 45 19633600</t>
  </si>
  <si>
    <t>Matthew.SamPraise@Rare.com</t>
  </si>
  <si>
    <t>E035</t>
  </si>
  <si>
    <t>Eswar</t>
  </si>
  <si>
    <t>Babu</t>
  </si>
  <si>
    <t>Eswar S Babu</t>
  </si>
  <si>
    <t>+965 62 4864588</t>
  </si>
  <si>
    <t>+965  24864588</t>
  </si>
  <si>
    <t>Eswar.Babu@Rare.com</t>
  </si>
  <si>
    <t>E036</t>
  </si>
  <si>
    <t>Majdi</t>
  </si>
  <si>
    <t>Ramz</t>
  </si>
  <si>
    <t>+20 99 3126507</t>
  </si>
  <si>
    <t>+20 20 33126507</t>
  </si>
  <si>
    <t>Majdi.Karim@Rare.com</t>
  </si>
  <si>
    <t>E037</t>
  </si>
  <si>
    <t>Ruby</t>
  </si>
  <si>
    <t>Daniel</t>
  </si>
  <si>
    <t>James</t>
  </si>
  <si>
    <t>+44 20 21528938</t>
  </si>
  <si>
    <t>Ruby.James@Rare.com</t>
  </si>
  <si>
    <t>E038</t>
  </si>
  <si>
    <t>Ahmad</t>
  </si>
  <si>
    <t>Jamil</t>
  </si>
  <si>
    <t>Ahmad Ali Jamil</t>
  </si>
  <si>
    <t>+971 47 6359934</t>
  </si>
  <si>
    <t>+971 04 36359934</t>
  </si>
  <si>
    <t>Ahmad.Jamil@Rare.com</t>
  </si>
  <si>
    <t>E039</t>
  </si>
  <si>
    <t>Maher</t>
  </si>
  <si>
    <t>Khaleel</t>
  </si>
  <si>
    <t>Shafiq</t>
  </si>
  <si>
    <t>+971 29 3255840</t>
  </si>
  <si>
    <t>+971 02 33255840</t>
  </si>
  <si>
    <t>Maher.Shafiq@Rare.com</t>
  </si>
  <si>
    <t>E040</t>
  </si>
  <si>
    <t>Robbie</t>
  </si>
  <si>
    <t>Adams</t>
  </si>
  <si>
    <t>Williams</t>
  </si>
  <si>
    <t>+971 04 28871052</t>
  </si>
  <si>
    <t>Robbie.Williams@Rare.com</t>
  </si>
  <si>
    <t>E041</t>
  </si>
  <si>
    <t>Dawood</t>
  </si>
  <si>
    <t>Nizar</t>
  </si>
  <si>
    <t>Dahi</t>
  </si>
  <si>
    <t>Dawood Nizar Dahi</t>
  </si>
  <si>
    <t>+971 90 9845998</t>
  </si>
  <si>
    <t>+971 04 29845998</t>
  </si>
  <si>
    <t>Dawood.Dahi@Rare.com</t>
  </si>
  <si>
    <t>E042</t>
  </si>
  <si>
    <t>Akram</t>
  </si>
  <si>
    <t>Raafat</t>
  </si>
  <si>
    <t>Hani</t>
  </si>
  <si>
    <t>Akram Raafat Hani</t>
  </si>
  <si>
    <t>+971 67 1735640</t>
  </si>
  <si>
    <t>+971 02 21735640</t>
  </si>
  <si>
    <t>Akram.Hani@Rare.com</t>
  </si>
  <si>
    <t>E043</t>
  </si>
  <si>
    <t>Ahlam Hani Khalid</t>
  </si>
  <si>
    <t>+971 23 9126592</t>
  </si>
  <si>
    <t>+971 04 29126592</t>
  </si>
  <si>
    <t>Ahlam.Khalid@Rare.com</t>
  </si>
  <si>
    <t>E044</t>
  </si>
  <si>
    <t>Fahid</t>
  </si>
  <si>
    <t>Laith</t>
  </si>
  <si>
    <t>Al Zaidi</t>
  </si>
  <si>
    <t>Fahid Laith Al Zaidi</t>
  </si>
  <si>
    <t>+966 95 7022635</t>
  </si>
  <si>
    <t>+966 1 27022635</t>
  </si>
  <si>
    <t>Fahid.Al Zaidi@Rare.com</t>
  </si>
  <si>
    <t>E148</t>
  </si>
  <si>
    <t>Samer</t>
  </si>
  <si>
    <t>+971 02 87758467</t>
  </si>
  <si>
    <t>Samer.Ali@Rare.com</t>
  </si>
  <si>
    <t>E045</t>
  </si>
  <si>
    <t>Arun</t>
  </si>
  <si>
    <t>Sharma</t>
  </si>
  <si>
    <t>Arun Kumar Sharma</t>
  </si>
  <si>
    <t>+971 60 9637018</t>
  </si>
  <si>
    <t>+971 04 29637018</t>
  </si>
  <si>
    <t>Arun.Sharma@Rare.com</t>
  </si>
  <si>
    <t>E046</t>
  </si>
  <si>
    <t>Tomas</t>
  </si>
  <si>
    <t>Madrigal</t>
  </si>
  <si>
    <t>Santiago</t>
  </si>
  <si>
    <t>+971 02 44915456</t>
  </si>
  <si>
    <t>Tomas.Santiago@Rare.com</t>
  </si>
  <si>
    <t>E047</t>
  </si>
  <si>
    <t>Faiz</t>
  </si>
  <si>
    <t>Khaldoon</t>
  </si>
  <si>
    <t>Al Kendi</t>
  </si>
  <si>
    <t>Faiz Khaldoon Al Kendi</t>
  </si>
  <si>
    <t>+971 65 2374688</t>
  </si>
  <si>
    <t>+971 02 42374688</t>
  </si>
  <si>
    <t>Faiz.Al Kendi@Rare.com</t>
  </si>
  <si>
    <t>E048</t>
  </si>
  <si>
    <t>Ramzi</t>
  </si>
  <si>
    <t>Al Rumaithi</t>
  </si>
  <si>
    <t>Lebanon</t>
  </si>
  <si>
    <t>+971 30 9154773</t>
  </si>
  <si>
    <t>+971 02 39154773</t>
  </si>
  <si>
    <t>Mohammad.Al Rumaithi@Rare.com</t>
  </si>
  <si>
    <t>E049</t>
  </si>
  <si>
    <t>Jihad</t>
  </si>
  <si>
    <t>Osama</t>
  </si>
  <si>
    <t>+971 54 4298300</t>
  </si>
  <si>
    <t>+971 04 34298300</t>
  </si>
  <si>
    <t>Jihad.Osama@Rare.com</t>
  </si>
  <si>
    <t>E050</t>
  </si>
  <si>
    <t>Katie</t>
  </si>
  <si>
    <t>Dylan</t>
  </si>
  <si>
    <t>Alexander</t>
  </si>
  <si>
    <t>+44 99 0167753</t>
  </si>
  <si>
    <t>+44 20 40167753</t>
  </si>
  <si>
    <t>Katie.Alexander@Rare.com</t>
  </si>
  <si>
    <t>E051</t>
  </si>
  <si>
    <t>Rasha</t>
  </si>
  <si>
    <t>Al Roujoob</t>
  </si>
  <si>
    <t>+973  44579860</t>
  </si>
  <si>
    <t>Rasha.Al Roujoob@Rare.com</t>
  </si>
  <si>
    <t>E052</t>
  </si>
  <si>
    <t>Hana</t>
  </si>
  <si>
    <t>Rushdi</t>
  </si>
  <si>
    <t>Hana Ali Rushdi</t>
  </si>
  <si>
    <t>+20 41 8756886</t>
  </si>
  <si>
    <t>+20 20 38756886</t>
  </si>
  <si>
    <t>Hana.Rushdi@Rare.com</t>
  </si>
  <si>
    <t>E053</t>
  </si>
  <si>
    <t>Tag Al Sir</t>
  </si>
  <si>
    <t>Hassan</t>
  </si>
  <si>
    <t>+971 02 37168686</t>
  </si>
  <si>
    <t>Tag Al Sir.Ahmed@Rare.com</t>
  </si>
  <si>
    <t>E054</t>
  </si>
  <si>
    <t>Sneha</t>
  </si>
  <si>
    <t>Rajendra</t>
  </si>
  <si>
    <t>Thakur</t>
  </si>
  <si>
    <t>+971 04 44277860</t>
  </si>
  <si>
    <t>Sneha.Thakur@Rare.com</t>
  </si>
  <si>
    <t>E055</t>
  </si>
  <si>
    <t>Vinod</t>
  </si>
  <si>
    <t>Gangadhar</t>
  </si>
  <si>
    <t>+971 02 52569048</t>
  </si>
  <si>
    <t>Vinod.Pillai@Rare.com</t>
  </si>
  <si>
    <t>E056</t>
  </si>
  <si>
    <t>Vijay</t>
  </si>
  <si>
    <t>Dinanath</t>
  </si>
  <si>
    <t>Chouhan</t>
  </si>
  <si>
    <t>+971 02 50233017</t>
  </si>
  <si>
    <t>Vijay.Chouhan@Rare.com</t>
  </si>
  <si>
    <t>E057</t>
  </si>
  <si>
    <t>Pradeep</t>
  </si>
  <si>
    <t>K</t>
  </si>
  <si>
    <t>Dinkar</t>
  </si>
  <si>
    <t>+973  53467822</t>
  </si>
  <si>
    <t>Pradeep.Dinkar@Rare.com</t>
  </si>
  <si>
    <t>E058</t>
  </si>
  <si>
    <t>Fawzi</t>
  </si>
  <si>
    <t>Hani Mohammad Fawzi</t>
  </si>
  <si>
    <t>+965 93 8364542</t>
  </si>
  <si>
    <t>+965  48364542</t>
  </si>
  <si>
    <t>Hani.Fawzi@Rare.com</t>
  </si>
  <si>
    <t>E059</t>
  </si>
  <si>
    <t>Jassim</t>
  </si>
  <si>
    <t>Diya</t>
  </si>
  <si>
    <t>Bahrain</t>
  </si>
  <si>
    <t>+973 25 8062060</t>
  </si>
  <si>
    <t>+973  58062060</t>
  </si>
  <si>
    <t>Jassim.Diya@Rare.com</t>
  </si>
  <si>
    <t>E060</t>
  </si>
  <si>
    <t>Majid</t>
  </si>
  <si>
    <t>Shahab</t>
  </si>
  <si>
    <t>+20 83 3032781</t>
  </si>
  <si>
    <t>+20 20 33032781</t>
  </si>
  <si>
    <t>Majid.Shahab@Rare.com</t>
  </si>
  <si>
    <t>E061</t>
  </si>
  <si>
    <t>ismail</t>
  </si>
  <si>
    <t>Omeiza</t>
  </si>
  <si>
    <t>Mumin</t>
  </si>
  <si>
    <t>+49 89 46733306</t>
  </si>
  <si>
    <t>IsmailOmeiza.Mumin@Rare.com</t>
  </si>
  <si>
    <t>E062</t>
  </si>
  <si>
    <t>Janet</t>
  </si>
  <si>
    <t>Olawole</t>
  </si>
  <si>
    <t>Titilomo</t>
  </si>
  <si>
    <t>+49 89 37538298</t>
  </si>
  <si>
    <t>JenetOlawole.Titilomo@Rare.com</t>
  </si>
  <si>
    <t>E063</t>
  </si>
  <si>
    <t>Hasib</t>
  </si>
  <si>
    <t>Sabah</t>
  </si>
  <si>
    <t>Al Hamadi</t>
  </si>
  <si>
    <t>+971 90 9143616</t>
  </si>
  <si>
    <t>+971 04 59143616</t>
  </si>
  <si>
    <t>Hasib.Al Hamadi@Rare.com</t>
  </si>
  <si>
    <t>E064</t>
  </si>
  <si>
    <t>Afif</t>
  </si>
  <si>
    <t>Basem</t>
  </si>
  <si>
    <t>Rezk</t>
  </si>
  <si>
    <t>Afif Basem Rezk</t>
  </si>
  <si>
    <t>+965 48 3541205</t>
  </si>
  <si>
    <t>+965  63541205</t>
  </si>
  <si>
    <t>Afif.Rezk@Rare.com</t>
  </si>
  <si>
    <t>E065</t>
  </si>
  <si>
    <t>Ankur</t>
  </si>
  <si>
    <t>Dhar</t>
  </si>
  <si>
    <t>Ankur Kumar Dhar</t>
  </si>
  <si>
    <t>+968 35 3125796</t>
  </si>
  <si>
    <t>+968  33125796</t>
  </si>
  <si>
    <t>Ankur.Dhar@Rare.com</t>
  </si>
  <si>
    <t>E066</t>
  </si>
  <si>
    <t>Duha</t>
  </si>
  <si>
    <t>Duha Bilal Al Zaidi</t>
  </si>
  <si>
    <t>+968 85 2791225</t>
  </si>
  <si>
    <t>+968  42791225</t>
  </si>
  <si>
    <t>Duha.Al Zaidi@Rare.com</t>
  </si>
  <si>
    <t>E067</t>
  </si>
  <si>
    <t>Mansoor</t>
  </si>
  <si>
    <t>+968  49917168</t>
  </si>
  <si>
    <t>Yaqoub.Loyai@Rare.com</t>
  </si>
  <si>
    <t>E068</t>
  </si>
  <si>
    <t>Jean</t>
  </si>
  <si>
    <t>Montalbo</t>
  </si>
  <si>
    <t>Gregorio</t>
  </si>
  <si>
    <t>+20 33 4521937</t>
  </si>
  <si>
    <t>+20 20 54521937</t>
  </si>
  <si>
    <t>Jean.Gregorio@Rare.com</t>
  </si>
  <si>
    <t>E069</t>
  </si>
  <si>
    <t>Abdul Kadir</t>
  </si>
  <si>
    <t>Mukhtar</t>
  </si>
  <si>
    <t>Usman</t>
  </si>
  <si>
    <t>Abdul Kadir Mukhtar Usman</t>
  </si>
  <si>
    <t>+971 76 5578330</t>
  </si>
  <si>
    <t>+971 02 45578330</t>
  </si>
  <si>
    <t>Abdul Kadir.Usman@Rare.com</t>
  </si>
  <si>
    <t>E070</t>
  </si>
  <si>
    <t>Pushparaj</t>
  </si>
  <si>
    <t>Vishwanath</t>
  </si>
  <si>
    <t>Shetty</t>
  </si>
  <si>
    <t>+971 04 63107214</t>
  </si>
  <si>
    <t>Pushparaj.Shetty@Rare.com</t>
  </si>
  <si>
    <t>E071</t>
  </si>
  <si>
    <t>Sivakumar</t>
  </si>
  <si>
    <t>N</t>
  </si>
  <si>
    <t>Ravichandran</t>
  </si>
  <si>
    <t>+971 04 68345496</t>
  </si>
  <si>
    <t>Sivakumar.Ravichandran@Rare.com</t>
  </si>
  <si>
    <t>E072</t>
  </si>
  <si>
    <t>Firas</t>
  </si>
  <si>
    <t>Mutasim</t>
  </si>
  <si>
    <t>Firas Mutasim Nasir</t>
  </si>
  <si>
    <t>+968 77 0257777</t>
  </si>
  <si>
    <t>+968  60257777</t>
  </si>
  <si>
    <t>Firas.Nasir@Rare.com</t>
  </si>
  <si>
    <t>E073</t>
  </si>
  <si>
    <t>Adeline</t>
  </si>
  <si>
    <t>Adam</t>
  </si>
  <si>
    <t>Absolon  </t>
  </si>
  <si>
    <t>Adeline Adam Absolon</t>
  </si>
  <si>
    <t>France</t>
  </si>
  <si>
    <t>+33 46 8176570</t>
  </si>
  <si>
    <t>+33 1 68176570</t>
  </si>
  <si>
    <t>Adeline.Absolon  @Rare.com</t>
  </si>
  <si>
    <t>E074</t>
  </si>
  <si>
    <t>Saleem</t>
  </si>
  <si>
    <t>Tahboob</t>
  </si>
  <si>
    <t>Akram Saleem Tahboob</t>
  </si>
  <si>
    <t>+971 86 0170900</t>
  </si>
  <si>
    <t>+971 02 40170900</t>
  </si>
  <si>
    <t>Akram.Tahboob@Rare.com</t>
  </si>
  <si>
    <t>E075</t>
  </si>
  <si>
    <t>Sunita</t>
  </si>
  <si>
    <t>Singh</t>
  </si>
  <si>
    <t>Grewal</t>
  </si>
  <si>
    <t>+971 04 52546324</t>
  </si>
  <si>
    <t>Hari.Iyer@Rare.com</t>
  </si>
  <si>
    <t>E076</t>
  </si>
  <si>
    <t>Amjad</t>
  </si>
  <si>
    <t>Amjad Ramzi Reda</t>
  </si>
  <si>
    <t>+971 46 2974162</t>
  </si>
  <si>
    <t>+971 02 42974162</t>
  </si>
  <si>
    <t>Amjad.Reda@Rare.com</t>
  </si>
  <si>
    <t>E077</t>
  </si>
  <si>
    <t>Hatim</t>
  </si>
  <si>
    <t>Ridwan</t>
  </si>
  <si>
    <t>Al Blooki</t>
  </si>
  <si>
    <t>+971 30 1767752</t>
  </si>
  <si>
    <t>+971 02 41767752</t>
  </si>
  <si>
    <t>Hatim.Al Blooki@Rare.com</t>
  </si>
  <si>
    <t>E078</t>
  </si>
  <si>
    <t>Rasheed</t>
  </si>
  <si>
    <t>+971 02 72758210</t>
  </si>
  <si>
    <t>Rasheed.Reda@Rare.com</t>
  </si>
  <si>
    <t>E079</t>
  </si>
  <si>
    <t xml:space="preserve">MR. </t>
  </si>
  <si>
    <t>Bustan</t>
  </si>
  <si>
    <t>+971 31 0274880</t>
  </si>
  <si>
    <t>+971 02 50274880</t>
  </si>
  <si>
    <t>Khalid.Bustan@Rare.com</t>
  </si>
  <si>
    <t>E080</t>
  </si>
  <si>
    <t>Sindhu</t>
  </si>
  <si>
    <t>Veluthakkal</t>
  </si>
  <si>
    <t>Sugathan</t>
  </si>
  <si>
    <t>+971 04 45241902</t>
  </si>
  <si>
    <t>Amit.Pathak@Rare.com</t>
  </si>
  <si>
    <t>E081</t>
  </si>
  <si>
    <t>Ivan</t>
  </si>
  <si>
    <t>Maniquis</t>
  </si>
  <si>
    <t>Santos</t>
  </si>
  <si>
    <t>+971 87 2054666</t>
  </si>
  <si>
    <t>+971 02 52054666</t>
  </si>
  <si>
    <t>Ivan.Santos@Rare.com</t>
  </si>
  <si>
    <t>E082</t>
  </si>
  <si>
    <t>+971 66 5990721</t>
  </si>
  <si>
    <t>+971 02 55990721</t>
  </si>
  <si>
    <t>Mustafa.Kamal@Rare.com</t>
  </si>
  <si>
    <t>E083</t>
  </si>
  <si>
    <t>Fahim</t>
  </si>
  <si>
    <t>Al Ali</t>
  </si>
  <si>
    <t>Fahim Rasheed Al Ali</t>
  </si>
  <si>
    <t>+20 39 9698632</t>
  </si>
  <si>
    <t>+20 20 59698632</t>
  </si>
  <si>
    <t>Fahim.Al Ali@Rare.com</t>
  </si>
  <si>
    <t>E084</t>
  </si>
  <si>
    <t>Nabil</t>
  </si>
  <si>
    <t>Waheed</t>
  </si>
  <si>
    <t>Amjad Nabil Waheed</t>
  </si>
  <si>
    <t>+966 24 5177750</t>
  </si>
  <si>
    <t>+966 1 55177750</t>
  </si>
  <si>
    <t>Amjad.Waheed@Rare.com</t>
  </si>
  <si>
    <t>E085</t>
  </si>
  <si>
    <t>Tahir</t>
  </si>
  <si>
    <t>Ghareeb</t>
  </si>
  <si>
    <t>Walid</t>
  </si>
  <si>
    <t>+966 1 65456234</t>
  </si>
  <si>
    <t>Tahir.Walid@Rare.com</t>
  </si>
  <si>
    <t>E086</t>
  </si>
  <si>
    <t>Esmail</t>
  </si>
  <si>
    <t>Anas</t>
  </si>
  <si>
    <t>Al Mansouri</t>
  </si>
  <si>
    <t>Esmail Anas Al Mansouri</t>
  </si>
  <si>
    <t>+966 46 3648069</t>
  </si>
  <si>
    <t>+966 1 63648069</t>
  </si>
  <si>
    <t>Esmail.Al Mansouri@Rare.com</t>
  </si>
  <si>
    <t>E087</t>
  </si>
  <si>
    <t>Asim</t>
  </si>
  <si>
    <t>bassam</t>
  </si>
  <si>
    <t>Asim bassam Waleed</t>
  </si>
  <si>
    <t>+971 92 5190256</t>
  </si>
  <si>
    <t>+971 02 55190256</t>
  </si>
  <si>
    <t>Asim.Waleed@Rare.com</t>
  </si>
  <si>
    <t>E088</t>
  </si>
  <si>
    <t>Humaid</t>
  </si>
  <si>
    <t>Al Shamsi</t>
  </si>
  <si>
    <t>+971 91 6673095</t>
  </si>
  <si>
    <t>+971 02 86673095</t>
  </si>
  <si>
    <t>Humaid.Al Shamsi@Rare.com</t>
  </si>
  <si>
    <t>E089</t>
  </si>
  <si>
    <t>Hussain</t>
  </si>
  <si>
    <t>Saif</t>
  </si>
  <si>
    <t>Al Zaabi</t>
  </si>
  <si>
    <t>+966 67 5275830</t>
  </si>
  <si>
    <t>+966 1 65275830</t>
  </si>
  <si>
    <t>Hussain.Al Zaabi@Rare.com</t>
  </si>
  <si>
    <t>E090</t>
  </si>
  <si>
    <t>Ibrahim</t>
  </si>
  <si>
    <t>Khader</t>
  </si>
  <si>
    <t>+971 83 7870965</t>
  </si>
  <si>
    <t>+971 02 87870965</t>
  </si>
  <si>
    <t>Ibrahim.Khader@Rare.com</t>
  </si>
  <si>
    <t>E091</t>
  </si>
  <si>
    <t>Adrien</t>
  </si>
  <si>
    <t>Alain</t>
  </si>
  <si>
    <t xml:space="preserve">Alban   </t>
  </si>
  <si>
    <t>Adrien Alain Alban</t>
  </si>
  <si>
    <t>+33 36 7956964</t>
  </si>
  <si>
    <t>+33 1 57956964</t>
  </si>
  <si>
    <t>Adrien.Alban   @Rare.com</t>
  </si>
  <si>
    <t>E092</t>
  </si>
  <si>
    <t>Jaber</t>
  </si>
  <si>
    <t>Khalifa</t>
  </si>
  <si>
    <t>+966 24 0837460</t>
  </si>
  <si>
    <t>+966 1 80837460</t>
  </si>
  <si>
    <t>Jaber.Hassan@Rare.com</t>
  </si>
  <si>
    <t>E093</t>
  </si>
  <si>
    <t>Suha</t>
  </si>
  <si>
    <t>Kereem</t>
  </si>
  <si>
    <t>Ayesh</t>
  </si>
  <si>
    <t>+971 04 49569960</t>
  </si>
  <si>
    <t>Kamal.Ayesh@Rare.com</t>
  </si>
  <si>
    <t>E094</t>
  </si>
  <si>
    <t>Nino</t>
  </si>
  <si>
    <t>Sison</t>
  </si>
  <si>
    <t>+971 56 5597515</t>
  </si>
  <si>
    <t>+971 02 55597515</t>
  </si>
  <si>
    <t>Nino.Montalbo@Rare.com</t>
  </si>
  <si>
    <t>E095</t>
  </si>
  <si>
    <t>Indra</t>
  </si>
  <si>
    <t>Rajesh</t>
  </si>
  <si>
    <t>+971 78 4228992</t>
  </si>
  <si>
    <t>+971 04 94228992</t>
  </si>
  <si>
    <t>Indra.Singh@Rare.com</t>
  </si>
  <si>
    <t>E096</t>
  </si>
  <si>
    <t>Rashid</t>
  </si>
  <si>
    <t>Al Qarni</t>
  </si>
  <si>
    <t>+971 56 9593578</t>
  </si>
  <si>
    <t>+971 02 49593578</t>
  </si>
  <si>
    <t>Khalifa.Al Qarni@Rare.com</t>
  </si>
  <si>
    <t>E097</t>
  </si>
  <si>
    <t>Sabir</t>
  </si>
  <si>
    <t>Bassam</t>
  </si>
  <si>
    <t>Aziz</t>
  </si>
  <si>
    <t>+971 04 85867306</t>
  </si>
  <si>
    <t>Sabir.Aziz@Rare.com</t>
  </si>
  <si>
    <t>E098</t>
  </si>
  <si>
    <t>Sheetal</t>
  </si>
  <si>
    <t>Shetti</t>
  </si>
  <si>
    <t>+971 04 96229287</t>
  </si>
  <si>
    <t>Sheetal.Shetti@Rare.com</t>
  </si>
  <si>
    <t>E099</t>
  </si>
  <si>
    <t>Amer</t>
  </si>
  <si>
    <t>jihad</t>
  </si>
  <si>
    <t>Amer jihad Tahboob</t>
  </si>
  <si>
    <t>Yemen</t>
  </si>
  <si>
    <t>+971 63 1501200</t>
  </si>
  <si>
    <t>+971 04 81501200</t>
  </si>
  <si>
    <t>Amer.Tahboob@Rare.com</t>
  </si>
  <si>
    <t>E100</t>
  </si>
  <si>
    <t>+971 44 0278820</t>
  </si>
  <si>
    <t>+971 04 60278820</t>
  </si>
  <si>
    <t>Mohammad.Mustafa@Rare.com</t>
  </si>
  <si>
    <t>E101</t>
  </si>
  <si>
    <t>Zaahir</t>
  </si>
  <si>
    <t>+20 65 1587148</t>
  </si>
  <si>
    <t>+20 20 81587148</t>
  </si>
  <si>
    <t>Maher.Zaahir@Rare.com</t>
  </si>
  <si>
    <t>E102</t>
  </si>
  <si>
    <t>Rangarajan</t>
  </si>
  <si>
    <t>Vasudev</t>
  </si>
  <si>
    <t>Balaji</t>
  </si>
  <si>
    <t>+971 04 67855267</t>
  </si>
  <si>
    <t>Rangarajan.Balaji@Rare.com</t>
  </si>
  <si>
    <t>E103</t>
  </si>
  <si>
    <t>Fadi</t>
  </si>
  <si>
    <t>Obada</t>
  </si>
  <si>
    <t>Al Mehairbi</t>
  </si>
  <si>
    <t>Fadi Obada Al Mehairbi</t>
  </si>
  <si>
    <t>+971 28 8302712</t>
  </si>
  <si>
    <t>+971 02 58302712</t>
  </si>
  <si>
    <t>Fadi.Al Mehairbi@Rare.com</t>
  </si>
  <si>
    <t>E104</t>
  </si>
  <si>
    <t xml:space="preserve">Edison </t>
  </si>
  <si>
    <t xml:space="preserve">Tan </t>
  </si>
  <si>
    <t>Arceo</t>
  </si>
  <si>
    <t>Edison Tan Arceo</t>
  </si>
  <si>
    <t>+971 77 3688340</t>
  </si>
  <si>
    <t>+971 02 103688340</t>
  </si>
  <si>
    <t>Edison .Arceo@Rare.com</t>
  </si>
  <si>
    <t>E105</t>
  </si>
  <si>
    <t>Roderick</t>
  </si>
  <si>
    <t>Cruz</t>
  </si>
  <si>
    <t>Zabala</t>
  </si>
  <si>
    <t>+971 04 77193970</t>
  </si>
  <si>
    <t>Roderick.Zabala@Rare.com</t>
  </si>
  <si>
    <t>E106</t>
  </si>
  <si>
    <t>Chetna</t>
  </si>
  <si>
    <t>Mahesh</t>
  </si>
  <si>
    <t>Chetna Mahesh Sharma</t>
  </si>
  <si>
    <t>+971 84 2574147</t>
  </si>
  <si>
    <t>+971 04 82574147</t>
  </si>
  <si>
    <t>Chetna.Sharma@Rare.com</t>
  </si>
  <si>
    <t>E107</t>
  </si>
  <si>
    <t>Malek</t>
  </si>
  <si>
    <t>+971 61 6467716</t>
  </si>
  <si>
    <t>+971 02 86467716</t>
  </si>
  <si>
    <t>Malek.Rushdi@Rare.com</t>
  </si>
  <si>
    <t>E108</t>
  </si>
  <si>
    <t>Jack</t>
  </si>
  <si>
    <t>George</t>
  </si>
  <si>
    <t>+971 30 7946471</t>
  </si>
  <si>
    <t>+971 04 57946471</t>
  </si>
  <si>
    <t>Jack.Daniel@Rare.com</t>
  </si>
  <si>
    <t>E109</t>
  </si>
  <si>
    <t>Rakesh</t>
  </si>
  <si>
    <t>Bhatiya</t>
  </si>
  <si>
    <t>+971 04 68663430</t>
  </si>
  <si>
    <t>Rakesh.Bhatiya@Rare.com</t>
  </si>
  <si>
    <t>E110</t>
  </si>
  <si>
    <t>Amrita</t>
  </si>
  <si>
    <t>Chopra</t>
  </si>
  <si>
    <t>Amrita Pal Chopra</t>
  </si>
  <si>
    <t>+971 81 8807104</t>
  </si>
  <si>
    <t>+971 04 88807104</t>
  </si>
  <si>
    <t>Amrita.Chopra@Rare.com</t>
  </si>
  <si>
    <t>E111</t>
  </si>
  <si>
    <t>Mamdouh</t>
  </si>
  <si>
    <t>Al Azraq</t>
  </si>
  <si>
    <t>+971 81 3263488</t>
  </si>
  <si>
    <t>+971 02 83263488</t>
  </si>
  <si>
    <t>Mamdouh.Al Azraq@Rare.com</t>
  </si>
  <si>
    <t>E112</t>
  </si>
  <si>
    <t>David</t>
  </si>
  <si>
    <t>Keating</t>
  </si>
  <si>
    <t>Trash</t>
  </si>
  <si>
    <t>David Keating Trash</t>
  </si>
  <si>
    <t>+971 78 7283121</t>
  </si>
  <si>
    <t>+971 04 87283121</t>
  </si>
  <si>
    <t>David.Trash@Rare.com</t>
  </si>
  <si>
    <t>E113</t>
  </si>
  <si>
    <t>Ronan</t>
  </si>
  <si>
    <t>Cowell</t>
  </si>
  <si>
    <t>Gaile</t>
  </si>
  <si>
    <t>+971 04 84836520</t>
  </si>
  <si>
    <t>Ronan.Gaile@Rare.com</t>
  </si>
  <si>
    <t>E114</t>
  </si>
  <si>
    <t>Stephen</t>
  </si>
  <si>
    <t>Gaitley</t>
  </si>
  <si>
    <t>Peterson</t>
  </si>
  <si>
    <t>+971 04 95561665</t>
  </si>
  <si>
    <t>Stephen.Peterson@Rare.com</t>
  </si>
  <si>
    <t>E115</t>
  </si>
  <si>
    <t>MR.</t>
  </si>
  <si>
    <t>+971 04 109097536</t>
  </si>
  <si>
    <t>E116</t>
  </si>
  <si>
    <t>Sunil</t>
  </si>
  <si>
    <t>Balasaheb</t>
  </si>
  <si>
    <t>Tauro</t>
  </si>
  <si>
    <t>+971 04 90470484</t>
  </si>
  <si>
    <t>Sunil.Tauro@Rare.com</t>
  </si>
  <si>
    <t>E117</t>
  </si>
  <si>
    <t>Jay</t>
  </si>
  <si>
    <t>Salvador</t>
  </si>
  <si>
    <t>Magboo</t>
  </si>
  <si>
    <t>+971 72 6647782</t>
  </si>
  <si>
    <t>+971 02 96647782</t>
  </si>
  <si>
    <t>Jay.Magboo@Rare.com</t>
  </si>
  <si>
    <t>E118</t>
  </si>
  <si>
    <t>Julius</t>
  </si>
  <si>
    <t>Ancaja</t>
  </si>
  <si>
    <t>Reyes</t>
  </si>
  <si>
    <t>+971 60 8074253</t>
  </si>
  <si>
    <t>+971 02 108074253</t>
  </si>
  <si>
    <t>Julius.Reyes@Rare.com</t>
  </si>
  <si>
    <t>E119</t>
  </si>
  <si>
    <t>Ramesh</t>
  </si>
  <si>
    <t>Vishnu</t>
  </si>
  <si>
    <t>Menon</t>
  </si>
  <si>
    <t>+971 04 67331160</t>
  </si>
  <si>
    <t>Ramesh.Menon@Rare.com</t>
  </si>
  <si>
    <t>E120</t>
  </si>
  <si>
    <t>Katoch</t>
  </si>
  <si>
    <t>+971 04 85121806</t>
  </si>
  <si>
    <t>Pradeep.Katoch@Rare.com</t>
  </si>
  <si>
    <t>E121</t>
  </si>
  <si>
    <t>Ata ullah</t>
  </si>
  <si>
    <t>dawood</t>
  </si>
  <si>
    <t>Ata ullah dawood Majid</t>
  </si>
  <si>
    <t>+971 36 1828956</t>
  </si>
  <si>
    <t>+971 02 121828956</t>
  </si>
  <si>
    <t>Ata ullah.Majid@Rare.com</t>
  </si>
  <si>
    <t>E122</t>
  </si>
  <si>
    <t>yasser</t>
  </si>
  <si>
    <t>Kamel</t>
  </si>
  <si>
    <t>+971 02 75307734</t>
  </si>
  <si>
    <t>yasser.Kamel@Rare.com</t>
  </si>
  <si>
    <t>E123</t>
  </si>
  <si>
    <t>Shazia</t>
  </si>
  <si>
    <t>Khan</t>
  </si>
  <si>
    <t>+971 04 112716248</t>
  </si>
  <si>
    <t>Aruna.Kondur@Rare.com</t>
  </si>
  <si>
    <t>E124</t>
  </si>
  <si>
    <t>waleed</t>
  </si>
  <si>
    <t>+971 04 63634500</t>
  </si>
  <si>
    <t>Walid.Ali@Rare.com</t>
  </si>
  <si>
    <t>E125</t>
  </si>
  <si>
    <t>hosni</t>
  </si>
  <si>
    <t>Sad</t>
  </si>
  <si>
    <t>Shaheen</t>
  </si>
  <si>
    <t>+971 98 3997764</t>
  </si>
  <si>
    <t>+971 02 93997764</t>
  </si>
  <si>
    <t>hosni.Shaheen@Rare.com</t>
  </si>
  <si>
    <t>E126</t>
  </si>
  <si>
    <t>Ayman Rami Mohammad</t>
  </si>
  <si>
    <t>+971 25 3975468</t>
  </si>
  <si>
    <t>+971 04 73975468</t>
  </si>
  <si>
    <t>Ayman.Mohammad@Rare.com</t>
  </si>
  <si>
    <t>E127</t>
  </si>
  <si>
    <t>Salim</t>
  </si>
  <si>
    <t>+971 39 2961280</t>
  </si>
  <si>
    <t>+971 02 122961280</t>
  </si>
  <si>
    <t>Mosa.Salim@Rare.com</t>
  </si>
  <si>
    <t>E128</t>
  </si>
  <si>
    <t>+971 02 91307232</t>
  </si>
  <si>
    <t>Salim.Al Shamsi@Rare.com</t>
  </si>
  <si>
    <t>E129</t>
  </si>
  <si>
    <t>Fakhri</t>
  </si>
  <si>
    <t>Rauf</t>
  </si>
  <si>
    <t>Fakhri Rauf Mohammad</t>
  </si>
  <si>
    <t>+971 76 0339980</t>
  </si>
  <si>
    <t>+971 04 100339980</t>
  </si>
  <si>
    <t>Fakhri.Mohammad@Rare.com</t>
  </si>
  <si>
    <t>E130</t>
  </si>
  <si>
    <t>Habib</t>
  </si>
  <si>
    <t>Al Huda</t>
  </si>
  <si>
    <t>+971 04 101910009</t>
  </si>
  <si>
    <t>Rami.Al Huda@Rare.com</t>
  </si>
  <si>
    <t>E131</t>
  </si>
  <si>
    <t>Raid</t>
  </si>
  <si>
    <t>+971 02 118929360</t>
  </si>
  <si>
    <t>Raid.Mustafa@Rare.com</t>
  </si>
  <si>
    <t>E132</t>
  </si>
  <si>
    <t>Hamad</t>
  </si>
  <si>
    <t>Zaabi</t>
  </si>
  <si>
    <t>+971 04 129888864</t>
  </si>
  <si>
    <t>Raid.Zaabi@Rare.com</t>
  </si>
  <si>
    <t>E133</t>
  </si>
  <si>
    <t>Yousef</t>
  </si>
  <si>
    <t>Al Zaraq</t>
  </si>
  <si>
    <t>+971 04 72586192</t>
  </si>
  <si>
    <t>Tahani.Al Zaraq@Rare.com</t>
  </si>
  <si>
    <t>E134</t>
  </si>
  <si>
    <t>rami</t>
  </si>
  <si>
    <t>Jabir</t>
  </si>
  <si>
    <t>Ali rami Jabir</t>
  </si>
  <si>
    <t>+971 36 3134590</t>
  </si>
  <si>
    <t>+971 04 113134590</t>
  </si>
  <si>
    <t>Ali.Jabir@Rare.com</t>
  </si>
  <si>
    <t>E135</t>
  </si>
  <si>
    <t>Haydar</t>
  </si>
  <si>
    <t>Riad</t>
  </si>
  <si>
    <t>Al Qubaisi</t>
  </si>
  <si>
    <t>+971 66 5020728</t>
  </si>
  <si>
    <t>+971 04 75020728</t>
  </si>
  <si>
    <t>Haydar.Al Qubaisi@Rare.com</t>
  </si>
  <si>
    <t>E136</t>
  </si>
  <si>
    <t>Omran</t>
  </si>
  <si>
    <t>Salah</t>
  </si>
  <si>
    <t>+971 02 135836459</t>
  </si>
  <si>
    <t>Omran.Mohammad@Rare.com</t>
  </si>
  <si>
    <t>E137</t>
  </si>
  <si>
    <t>sameer</t>
  </si>
  <si>
    <t>+971 04 137313450</t>
  </si>
  <si>
    <t>Shaheen.Saleem@Rare.com</t>
  </si>
  <si>
    <t>E138</t>
  </si>
  <si>
    <t>Gorge</t>
  </si>
  <si>
    <t>firas</t>
  </si>
  <si>
    <t>Gorge firas Essa</t>
  </si>
  <si>
    <t>+971 23 2479835</t>
  </si>
  <si>
    <t>+971 04 102479835</t>
  </si>
  <si>
    <t>Gorge.Essa@Rare.com</t>
  </si>
  <si>
    <t>E139</t>
  </si>
  <si>
    <t>samer</t>
  </si>
  <si>
    <t>+971 80 0751000</t>
  </si>
  <si>
    <t>+971 04 100751000</t>
  </si>
  <si>
    <t>Loyai.Ibrahim@Rare.com</t>
  </si>
  <si>
    <t>E140</t>
  </si>
  <si>
    <t>Haitham</t>
  </si>
  <si>
    <t>Abdullah</t>
  </si>
  <si>
    <t>+971 04 90049368</t>
  </si>
  <si>
    <t>Saeed.Abdullah@Rare.com</t>
  </si>
  <si>
    <t>E141</t>
  </si>
  <si>
    <t>Abdul Aziz</t>
  </si>
  <si>
    <t>Rajab</t>
  </si>
  <si>
    <t>Abdul Aziz Rajab Qasim</t>
  </si>
  <si>
    <t>+971 31 2728348</t>
  </si>
  <si>
    <t>+971 04 82728348</t>
  </si>
  <si>
    <t>Abdul Aziz.Qasim@Rare.com</t>
  </si>
  <si>
    <t>E142</t>
  </si>
  <si>
    <t>Najma</t>
  </si>
  <si>
    <t>Shah</t>
  </si>
  <si>
    <t>Heptullah</t>
  </si>
  <si>
    <t>+971 89 3628352</t>
  </si>
  <si>
    <t>+971 04 133628352</t>
  </si>
  <si>
    <t>Mohan.Ray@Rare.com</t>
  </si>
  <si>
    <t>E143</t>
  </si>
  <si>
    <t>Robert</t>
  </si>
  <si>
    <t>Aguinaldo</t>
  </si>
  <si>
    <t>Aquino</t>
  </si>
  <si>
    <t>+971 02 88922016</t>
  </si>
  <si>
    <t>Robert.Aquino@Rare.com</t>
  </si>
  <si>
    <t>E144</t>
  </si>
  <si>
    <t>Ali Mohammad Al Shamsi</t>
  </si>
  <si>
    <t>+971 95 3593730</t>
  </si>
  <si>
    <t>+971 04 93593730</t>
  </si>
  <si>
    <t>Ali.Al Shamsi@Rare.com</t>
  </si>
  <si>
    <t>E145</t>
  </si>
  <si>
    <t>hossam</t>
  </si>
  <si>
    <t>+971 95 3646028</t>
  </si>
  <si>
    <t>+971 02 83646028</t>
  </si>
  <si>
    <t>hossam.Saeed@Rare.com</t>
  </si>
  <si>
    <t>E146</t>
  </si>
  <si>
    <t>Mansour</t>
  </si>
  <si>
    <t>Yahya</t>
  </si>
  <si>
    <t>Saad</t>
  </si>
  <si>
    <t>+971 52 3647348</t>
  </si>
  <si>
    <t>+971 04 103647348</t>
  </si>
  <si>
    <t>Mansour.Saad@Rare.com</t>
  </si>
  <si>
    <t>E147</t>
  </si>
  <si>
    <t>Ahmed Mohammad Khader</t>
  </si>
  <si>
    <t>+971 54 4403152</t>
  </si>
  <si>
    <t>+971 04 74403152</t>
  </si>
  <si>
    <t>Ahmed.Khader@Rare.com</t>
  </si>
  <si>
    <t>Count of Emp_ID</t>
  </si>
  <si>
    <t>Row Labels</t>
  </si>
  <si>
    <t>01-Jul</t>
  </si>
  <si>
    <t>01-Oct</t>
  </si>
  <si>
    <t>01-Jan</t>
  </si>
  <si>
    <t>01-Feb</t>
  </si>
  <si>
    <t>08-Sep</t>
  </si>
  <si>
    <t>01-Dec</t>
  </si>
  <si>
    <t>01-Nov</t>
  </si>
  <si>
    <t>03-Jul</t>
  </si>
  <si>
    <t>04-Jul</t>
  </si>
  <si>
    <t>01-May</t>
  </si>
  <si>
    <t>04-Sep</t>
  </si>
  <si>
    <t>01-Apr</t>
  </si>
  <si>
    <t>03-Apr</t>
  </si>
  <si>
    <t>01-Aug</t>
  </si>
  <si>
    <t>04-Aug</t>
  </si>
  <si>
    <t>01-Jun</t>
  </si>
  <si>
    <t>03-Jun</t>
  </si>
  <si>
    <t>04-Nov</t>
  </si>
  <si>
    <t>05-Dec</t>
  </si>
  <si>
    <t>06-Feb</t>
  </si>
  <si>
    <t>01-Mar</t>
  </si>
  <si>
    <t>06-Apr</t>
  </si>
  <si>
    <t>01-Sep</t>
  </si>
  <si>
    <t>07-Sep</t>
  </si>
  <si>
    <t>05-Oct</t>
  </si>
  <si>
    <t>09-Nov</t>
  </si>
  <si>
    <t>08-Mar</t>
  </si>
  <si>
    <t>05-Apr</t>
  </si>
  <si>
    <t>08-Jul</t>
  </si>
  <si>
    <t>08-Nov</t>
  </si>
  <si>
    <t>Count of Emp_ID2</t>
  </si>
  <si>
    <t xml:space="preserve"> Job Level</t>
  </si>
  <si>
    <t xml:space="preserve"> Age Group</t>
  </si>
  <si>
    <t xml:space="preserve"> Religous Faith</t>
  </si>
  <si>
    <t>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</si>
</sst>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6" formatCode="[$-14009]dddd\,\ d\ mmmm\,\ yyyy;@"/>
  </numFmts>
  <fonts count="8" x14ac:knownFonts="1">
    <font>
      <sz val="11"/>
      <color theme="1"/>
      <name val="Calibri"/>
      <scheme val="minor"/>
    </font>
    <font>
      <sz val="11"/>
      <color theme="1"/>
      <name val="Calibri"/>
      <family val="2"/>
      <scheme val="minor"/>
    </font>
    <font>
      <sz val="11"/>
      <color theme="1"/>
      <name val="Calibri"/>
    </font>
    <font>
      <sz val="11"/>
      <color theme="1"/>
      <name val="Calibri"/>
      <scheme val="minor"/>
    </font>
    <font>
      <b/>
      <sz val="14"/>
      <color theme="0"/>
      <name val="Calibri"/>
    </font>
    <font>
      <sz val="11"/>
      <color theme="0"/>
      <name val="Calibri"/>
    </font>
    <font>
      <u/>
      <sz val="11"/>
      <color theme="10"/>
      <name val="Calibri"/>
    </font>
    <font>
      <b/>
      <sz val="14"/>
      <color theme="0" tint="-0.14999847407452621"/>
      <name val="Calibri"/>
      <family val="2"/>
    </font>
  </fonts>
  <fills count="6">
    <fill>
      <patternFill patternType="none"/>
    </fill>
    <fill>
      <patternFill patternType="gray125"/>
    </fill>
    <fill>
      <patternFill patternType="solid">
        <fgColor rgb="FF121420"/>
        <bgColor rgb="FF121420"/>
      </patternFill>
    </fill>
    <fill>
      <patternFill patternType="solid">
        <fgColor rgb="FF20202A"/>
        <bgColor rgb="FF20202A"/>
      </patternFill>
    </fill>
    <fill>
      <patternFill patternType="solid">
        <fgColor rgb="FF17121F"/>
        <bgColor rgb="FF17121F"/>
      </patternFill>
    </fill>
    <fill>
      <patternFill patternType="solid">
        <fgColor rgb="FF913315"/>
        <bgColor rgb="FF20202A"/>
      </patternFill>
    </fill>
  </fills>
  <borders count="3">
    <border>
      <left/>
      <right/>
      <top/>
      <bottom/>
      <diagonal/>
    </border>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6">
    <xf numFmtId="0" fontId="0" fillId="0" borderId="0" xfId="0"/>
    <xf numFmtId="0" fontId="3" fillId="0" borderId="0" xfId="0" applyFont="1"/>
    <xf numFmtId="0" fontId="2" fillId="2" borderId="1" xfId="0" applyFont="1" applyFill="1" applyBorder="1"/>
    <xf numFmtId="0" fontId="2" fillId="3" borderId="1" xfId="0" applyFont="1" applyFill="1" applyBorder="1"/>
    <xf numFmtId="0" fontId="2" fillId="4" borderId="1" xfId="0" applyFont="1" applyFill="1" applyBorder="1"/>
    <xf numFmtId="0" fontId="5" fillId="2" borderId="2" xfId="0" applyFont="1" applyFill="1" applyBorder="1"/>
    <xf numFmtId="0" fontId="4" fillId="2" borderId="1" xfId="0" applyFont="1" applyFill="1" applyBorder="1"/>
    <xf numFmtId="14" fontId="2" fillId="0" borderId="0" xfId="0" applyNumberFormat="1" applyFont="1"/>
    <xf numFmtId="0" fontId="6" fillId="0" borderId="0" xfId="0" applyFont="1"/>
    <xf numFmtId="166" fontId="0" fillId="0" borderId="0" xfId="0" applyNumberFormat="1"/>
    <xf numFmtId="0" fontId="0" fillId="0" borderId="0" xfId="0" pivotButton="1"/>
    <xf numFmtId="14" fontId="0" fillId="0" borderId="0" xfId="0" applyNumberFormat="1" applyAlignment="1">
      <alignment horizontal="left"/>
    </xf>
    <xf numFmtId="10" fontId="0" fillId="0" borderId="0" xfId="0" applyNumberFormat="1"/>
    <xf numFmtId="164" fontId="0" fillId="0" borderId="0" xfId="0" applyNumberFormat="1"/>
    <xf numFmtId="0" fontId="7" fillId="5" borderId="1" xfId="0" applyFont="1" applyFill="1" applyBorder="1" applyAlignment="1">
      <alignment horizontal="center" vertical="center"/>
    </xf>
    <xf numFmtId="0" fontId="1" fillId="0" borderId="0" xfId="0" applyFont="1"/>
  </cellXfs>
  <cellStyles count="1">
    <cellStyle name="Normal" xfId="0" builtinId="0"/>
  </cellStyles>
  <dxfs count="6">
    <dxf>
      <numFmt numFmtId="164" formatCode="0.0%"/>
    </dxf>
    <dxf>
      <numFmt numFmtId="164" formatCode="0.0%"/>
    </dxf>
    <dxf>
      <numFmt numFmtId="164" formatCode="0.0%"/>
    </dxf>
    <dxf>
      <font>
        <b/>
        <i val="0"/>
        <color theme="3" tint="0.24994659260841701"/>
      </font>
      <fill>
        <patternFill>
          <bgColor theme="0"/>
        </patternFill>
      </fill>
      <border>
        <left/>
        <right/>
        <top/>
        <bottom/>
        <vertical/>
        <horizontal/>
      </border>
    </dxf>
    <dxf>
      <font>
        <sz val="9"/>
        <color theme="0"/>
        <name val="Tw Cen MT"/>
        <family val="2"/>
        <scheme val="none"/>
      </font>
      <border>
        <left/>
        <right/>
        <top/>
        <bottom/>
        <vertical/>
        <horizontal/>
      </border>
    </dxf>
    <dxf>
      <font>
        <color theme="1"/>
      </font>
      <fill>
        <patternFill>
          <bgColor rgb="FF050A32"/>
        </patternFill>
      </fill>
      <border>
        <left/>
        <right/>
        <top/>
        <bottom/>
        <vertical/>
        <horizontal/>
      </border>
    </dxf>
  </dxfs>
  <tableStyles count="1" defaultTableStyle="TableStyleMedium2" defaultPivotStyle="PivotStyleLight16">
    <tableStyle name="Slicer" pivot="0" table="0" count="10" xr9:uid="{EC7CFA03-336A-4AFB-9CC2-80ACA9B49248}">
      <tableStyleElement type="wholeTable" dxfId="5"/>
      <tableStyleElement type="headerRow" dxfId="4"/>
    </tableStyle>
  </tableStyles>
  <colors>
    <mruColors>
      <color rgb="FF758A33"/>
      <color rgb="FF141420"/>
      <color rgb="FF913315"/>
      <color rgb="FF050A32"/>
      <color rgb="FF9ACEEE"/>
      <color rgb="FF202029"/>
      <color rgb="FF44446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name val="Tw Cen MT"/>
            <family val="2"/>
            <scheme val="none"/>
          </font>
          <fill>
            <gradientFill>
              <stop position="0">
                <color rgb="FF913315"/>
              </stop>
              <stop position="1">
                <color rgb="FF14142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theme="0"/>
            <name val="Tw Cen MT"/>
            <family val="2"/>
            <scheme val="none"/>
          </font>
          <fill>
            <gradientFill>
              <stop position="0">
                <color rgb="FF758A33"/>
              </stop>
              <stop position="1">
                <color rgb="FF92D050"/>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5" Type="http://schemas.openxmlformats.org/officeDocument/2006/relationships/styles" Target="styles.xml"/><Relationship Id="rId4" Type="http://schemas.openxmlformats.org/officeDocument/2006/relationships/worksheet" Target="worksheets/sheet4.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[HRDashboard.xlsm]Analysis 1!PivotTable2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4446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716041943363307E-2"/>
          <c:y val="6.9493883800593473E-2"/>
          <c:w val="0.88456787318165475"/>
          <c:h val="0.65068560971405731"/>
        </c:manualLayout>
      </c:layout>
      <c:barChart>
        <c:barDir val="col"/>
        <c:grouping val="clustered"/>
        <c:varyColors val="0"/>
        <c:ser>
          <c:idx val="0"/>
          <c:order val="0"/>
          <c:tx>
            <c:strRef>
              <c:f>'Analysis 1'!$E$3</c:f>
              <c:strCache>
                <c:ptCount val="1"/>
                <c:pt idx="0">
                  <c:v>Total</c:v>
                </c:pt>
              </c:strCache>
            </c:strRef>
          </c:tx>
          <c:spPr>
            <a:solidFill>
              <a:srgbClr val="44446C"/>
            </a:solidFill>
            <a:ln>
              <a:noFill/>
            </a:ln>
            <a:effectLst/>
          </c:spPr>
          <c:invertIfNegative val="0"/>
          <c:cat>
            <c:strRef>
              <c:f>'Analysis 1'!$D$4:$D$74</c:f>
              <c:strCache>
                <c:ptCount val="70"/>
                <c:pt idx="0">
                  <c:v>01-Jan</c:v>
                </c:pt>
                <c:pt idx="1">
                  <c:v>11-Jan</c:v>
                </c:pt>
                <c:pt idx="2">
                  <c:v>13-Jan</c:v>
                </c:pt>
                <c:pt idx="3">
                  <c:v>19-Jan</c:v>
                </c:pt>
                <c:pt idx="4">
                  <c:v>20-Jan</c:v>
                </c:pt>
                <c:pt idx="5">
                  <c:v>21-Jan</c:v>
                </c:pt>
                <c:pt idx="6">
                  <c:v>23-Jan</c:v>
                </c:pt>
                <c:pt idx="7">
                  <c:v>30-Jan</c:v>
                </c:pt>
                <c:pt idx="8">
                  <c:v>01-Feb</c:v>
                </c:pt>
                <c:pt idx="9">
                  <c:v>06-Feb</c:v>
                </c:pt>
                <c:pt idx="10">
                  <c:v>10-Feb</c:v>
                </c:pt>
                <c:pt idx="11">
                  <c:v>15-Feb</c:v>
                </c:pt>
                <c:pt idx="12">
                  <c:v>22-Feb</c:v>
                </c:pt>
                <c:pt idx="13">
                  <c:v>01-Mar</c:v>
                </c:pt>
                <c:pt idx="14">
                  <c:v>08-Mar</c:v>
                </c:pt>
                <c:pt idx="15">
                  <c:v>11-Mar</c:v>
                </c:pt>
                <c:pt idx="16">
                  <c:v>13-Mar</c:v>
                </c:pt>
                <c:pt idx="17">
                  <c:v>24-Mar</c:v>
                </c:pt>
                <c:pt idx="18">
                  <c:v>01-Apr</c:v>
                </c:pt>
                <c:pt idx="19">
                  <c:v>03-Apr</c:v>
                </c:pt>
                <c:pt idx="20">
                  <c:v>05-Apr</c:v>
                </c:pt>
                <c:pt idx="21">
                  <c:v>06-Apr</c:v>
                </c:pt>
                <c:pt idx="22">
                  <c:v>15-Apr</c:v>
                </c:pt>
                <c:pt idx="23">
                  <c:v>26-Apr</c:v>
                </c:pt>
                <c:pt idx="24">
                  <c:v>01-May</c:v>
                </c:pt>
                <c:pt idx="25">
                  <c:v>20-May</c:v>
                </c:pt>
                <c:pt idx="26">
                  <c:v>21-May</c:v>
                </c:pt>
                <c:pt idx="27">
                  <c:v>31-May</c:v>
                </c:pt>
                <c:pt idx="28">
                  <c:v>01-Jun</c:v>
                </c:pt>
                <c:pt idx="29">
                  <c:v>03-Jun</c:v>
                </c:pt>
                <c:pt idx="30">
                  <c:v>17-Jun</c:v>
                </c:pt>
                <c:pt idx="31">
                  <c:v>18-Jun</c:v>
                </c:pt>
                <c:pt idx="32">
                  <c:v>22-Jun</c:v>
                </c:pt>
                <c:pt idx="33">
                  <c:v>01-Jul</c:v>
                </c:pt>
                <c:pt idx="34">
                  <c:v>03-Jul</c:v>
                </c:pt>
                <c:pt idx="35">
                  <c:v>04-Jul</c:v>
                </c:pt>
                <c:pt idx="36">
                  <c:v>08-Jul</c:v>
                </c:pt>
                <c:pt idx="37">
                  <c:v>15-Jul</c:v>
                </c:pt>
                <c:pt idx="38">
                  <c:v>26-Jul</c:v>
                </c:pt>
                <c:pt idx="39">
                  <c:v>01-Aug</c:v>
                </c:pt>
                <c:pt idx="40">
                  <c:v>04-Aug</c:v>
                </c:pt>
                <c:pt idx="41">
                  <c:v>15-Aug</c:v>
                </c:pt>
                <c:pt idx="42">
                  <c:v>22-Aug</c:v>
                </c:pt>
                <c:pt idx="43">
                  <c:v>24-Aug</c:v>
                </c:pt>
                <c:pt idx="44">
                  <c:v>27-Aug</c:v>
                </c:pt>
                <c:pt idx="45">
                  <c:v>01-Sep</c:v>
                </c:pt>
                <c:pt idx="46">
                  <c:v>04-Sep</c:v>
                </c:pt>
                <c:pt idx="47">
                  <c:v>07-Sep</c:v>
                </c:pt>
                <c:pt idx="48">
                  <c:v>08-Sep</c:v>
                </c:pt>
                <c:pt idx="49">
                  <c:v>10-Sep</c:v>
                </c:pt>
                <c:pt idx="50">
                  <c:v>11-Sep</c:v>
                </c:pt>
                <c:pt idx="51">
                  <c:v>01-Oct</c:v>
                </c:pt>
                <c:pt idx="52">
                  <c:v>05-Oct</c:v>
                </c:pt>
                <c:pt idx="53">
                  <c:v>10-Oct</c:v>
                </c:pt>
                <c:pt idx="54">
                  <c:v>15-Oct</c:v>
                </c:pt>
                <c:pt idx="55">
                  <c:v>01-Nov</c:v>
                </c:pt>
                <c:pt idx="56">
                  <c:v>04-Nov</c:v>
                </c:pt>
                <c:pt idx="57">
                  <c:v>08-Nov</c:v>
                </c:pt>
                <c:pt idx="58">
                  <c:v>09-Nov</c:v>
                </c:pt>
                <c:pt idx="59">
                  <c:v>13-Nov</c:v>
                </c:pt>
                <c:pt idx="60">
                  <c:v>15-Nov</c:v>
                </c:pt>
                <c:pt idx="61">
                  <c:v>17-Nov</c:v>
                </c:pt>
                <c:pt idx="62">
                  <c:v>21-Nov</c:v>
                </c:pt>
                <c:pt idx="63">
                  <c:v>22-Nov</c:v>
                </c:pt>
                <c:pt idx="64">
                  <c:v>30-Nov</c:v>
                </c:pt>
                <c:pt idx="65">
                  <c:v>01-Dec</c:v>
                </c:pt>
                <c:pt idx="66">
                  <c:v>05-Dec</c:v>
                </c:pt>
                <c:pt idx="67">
                  <c:v>10-Dec</c:v>
                </c:pt>
                <c:pt idx="68">
                  <c:v>13-Dec</c:v>
                </c:pt>
                <c:pt idx="69">
                  <c:v>21-Dec</c:v>
                </c:pt>
              </c:strCache>
            </c:strRef>
          </c:cat>
          <c:val>
            <c:numRef>
              <c:f>'Analysis 1'!$E$4:$E$74</c:f>
              <c:numCache>
                <c:formatCode>General</c:formatCode>
                <c:ptCount val="70"/>
                <c:pt idx="0">
                  <c:v>10</c:v>
                </c:pt>
                <c:pt idx="1">
                  <c:v>1</c:v>
                </c:pt>
                <c:pt idx="2">
                  <c:v>5</c:v>
                </c:pt>
                <c:pt idx="3">
                  <c:v>7</c:v>
                </c:pt>
                <c:pt idx="4">
                  <c:v>2</c:v>
                </c:pt>
                <c:pt idx="5">
                  <c:v>1</c:v>
                </c:pt>
                <c:pt idx="6">
                  <c:v>1</c:v>
                </c:pt>
                <c:pt idx="7">
                  <c:v>1</c:v>
                </c:pt>
                <c:pt idx="8">
                  <c:v>11</c:v>
                </c:pt>
                <c:pt idx="9">
                  <c:v>1</c:v>
                </c:pt>
                <c:pt idx="10">
                  <c:v>3</c:v>
                </c:pt>
                <c:pt idx="11">
                  <c:v>1</c:v>
                </c:pt>
                <c:pt idx="12">
                  <c:v>1</c:v>
                </c:pt>
                <c:pt idx="13">
                  <c:v>2</c:v>
                </c:pt>
                <c:pt idx="14">
                  <c:v>1</c:v>
                </c:pt>
                <c:pt idx="15">
                  <c:v>1</c:v>
                </c:pt>
                <c:pt idx="16">
                  <c:v>3</c:v>
                </c:pt>
                <c:pt idx="17">
                  <c:v>1</c:v>
                </c:pt>
                <c:pt idx="18">
                  <c:v>8</c:v>
                </c:pt>
                <c:pt idx="19">
                  <c:v>1</c:v>
                </c:pt>
                <c:pt idx="20">
                  <c:v>2</c:v>
                </c:pt>
                <c:pt idx="21">
                  <c:v>2</c:v>
                </c:pt>
                <c:pt idx="22">
                  <c:v>1</c:v>
                </c:pt>
                <c:pt idx="23">
                  <c:v>1</c:v>
                </c:pt>
                <c:pt idx="24">
                  <c:v>3</c:v>
                </c:pt>
                <c:pt idx="25">
                  <c:v>1</c:v>
                </c:pt>
                <c:pt idx="26">
                  <c:v>1</c:v>
                </c:pt>
                <c:pt idx="27">
                  <c:v>1</c:v>
                </c:pt>
                <c:pt idx="28">
                  <c:v>3</c:v>
                </c:pt>
                <c:pt idx="29">
                  <c:v>1</c:v>
                </c:pt>
                <c:pt idx="30">
                  <c:v>1</c:v>
                </c:pt>
                <c:pt idx="31">
                  <c:v>1</c:v>
                </c:pt>
                <c:pt idx="32">
                  <c:v>2</c:v>
                </c:pt>
                <c:pt idx="33">
                  <c:v>6</c:v>
                </c:pt>
                <c:pt idx="34">
                  <c:v>1</c:v>
                </c:pt>
                <c:pt idx="35">
                  <c:v>1</c:v>
                </c:pt>
                <c:pt idx="36">
                  <c:v>2</c:v>
                </c:pt>
                <c:pt idx="37">
                  <c:v>2</c:v>
                </c:pt>
                <c:pt idx="38">
                  <c:v>1</c:v>
                </c:pt>
                <c:pt idx="39">
                  <c:v>5</c:v>
                </c:pt>
                <c:pt idx="40">
                  <c:v>1</c:v>
                </c:pt>
                <c:pt idx="41">
                  <c:v>1</c:v>
                </c:pt>
                <c:pt idx="42">
                  <c:v>1</c:v>
                </c:pt>
                <c:pt idx="43">
                  <c:v>1</c:v>
                </c:pt>
                <c:pt idx="44">
                  <c:v>1</c:v>
                </c:pt>
                <c:pt idx="45">
                  <c:v>2</c:v>
                </c:pt>
                <c:pt idx="46">
                  <c:v>1</c:v>
                </c:pt>
                <c:pt idx="47">
                  <c:v>2</c:v>
                </c:pt>
                <c:pt idx="48">
                  <c:v>1</c:v>
                </c:pt>
                <c:pt idx="49">
                  <c:v>3</c:v>
                </c:pt>
                <c:pt idx="50">
                  <c:v>2</c:v>
                </c:pt>
                <c:pt idx="51">
                  <c:v>2</c:v>
                </c:pt>
                <c:pt idx="52">
                  <c:v>1</c:v>
                </c:pt>
                <c:pt idx="53">
                  <c:v>1</c:v>
                </c:pt>
                <c:pt idx="54">
                  <c:v>2</c:v>
                </c:pt>
                <c:pt idx="55">
                  <c:v>4</c:v>
                </c:pt>
                <c:pt idx="56">
                  <c:v>1</c:v>
                </c:pt>
                <c:pt idx="57">
                  <c:v>3</c:v>
                </c:pt>
                <c:pt idx="58">
                  <c:v>1</c:v>
                </c:pt>
                <c:pt idx="59">
                  <c:v>1</c:v>
                </c:pt>
                <c:pt idx="60">
                  <c:v>5</c:v>
                </c:pt>
                <c:pt idx="61">
                  <c:v>1</c:v>
                </c:pt>
                <c:pt idx="62">
                  <c:v>1</c:v>
                </c:pt>
                <c:pt idx="63">
                  <c:v>1</c:v>
                </c:pt>
                <c:pt idx="64">
                  <c:v>1</c:v>
                </c:pt>
                <c:pt idx="65">
                  <c:v>5</c:v>
                </c:pt>
                <c:pt idx="66">
                  <c:v>1</c:v>
                </c:pt>
                <c:pt idx="67">
                  <c:v>1</c:v>
                </c:pt>
                <c:pt idx="68">
                  <c:v>1</c:v>
                </c:pt>
                <c:pt idx="69">
                  <c:v>2</c:v>
                </c:pt>
              </c:numCache>
            </c:numRef>
          </c:val>
          <c:extLst>
            <c:ext xmlns:c16="http://schemas.microsoft.com/office/drawing/2014/chart" uri="{C3380CC4-5D6E-409C-BE32-E72D297353CC}">
              <c16:uniqueId val="{00000000-0572-4831-A146-45723B58A7FA}"/>
            </c:ext>
          </c:extLst>
        </c:ser>
        <c:dLbls>
          <c:showLegendKey val="0"/>
          <c:showVal val="0"/>
          <c:showCatName val="0"/>
          <c:showSerName val="0"/>
          <c:showPercent val="0"/>
          <c:showBubbleSize val="0"/>
        </c:dLbls>
        <c:gapWidth val="219"/>
        <c:overlap val="-27"/>
        <c:axId val="573853519"/>
        <c:axId val="573847695"/>
      </c:barChart>
      <c:catAx>
        <c:axId val="573853519"/>
        <c:scaling>
          <c:orientation val="minMax"/>
        </c:scaling>
        <c:delete val="1"/>
        <c:axPos val="b"/>
        <c:numFmt formatCode="General" sourceLinked="1"/>
        <c:majorTickMark val="none"/>
        <c:minorTickMark val="none"/>
        <c:tickLblPos val="nextTo"/>
        <c:crossAx val="573847695"/>
        <c:crosses val="autoZero"/>
        <c:auto val="1"/>
        <c:lblAlgn val="ctr"/>
        <c:lblOffset val="100"/>
        <c:noMultiLvlLbl val="0"/>
      </c:catAx>
      <c:valAx>
        <c:axId val="573847695"/>
        <c:scaling>
          <c:orientation val="minMax"/>
        </c:scaling>
        <c:delete val="1"/>
        <c:axPos val="l"/>
        <c:numFmt formatCode="General" sourceLinked="1"/>
        <c:majorTickMark val="none"/>
        <c:minorTickMark val="none"/>
        <c:tickLblPos val="nextTo"/>
        <c:crossAx val="57385351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[HRDashboard.xlsm]Analysis 1!PivotTable9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1331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1'!$AB$3</c:f>
              <c:strCache>
                <c:ptCount val="1"/>
                <c:pt idx="0">
                  <c:v>Total</c:v>
                </c:pt>
              </c:strCache>
            </c:strRef>
          </c:tx>
          <c:spPr>
            <a:solidFill>
              <a:srgbClr val="91331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1'!$AA$4:$AA$7</c:f>
              <c:strCache>
                <c:ptCount val="4"/>
                <c:pt idx="0">
                  <c:v>Qtr1</c:v>
                </c:pt>
                <c:pt idx="1">
                  <c:v>Qtr2</c:v>
                </c:pt>
                <c:pt idx="2">
                  <c:v>Qtr3</c:v>
                </c:pt>
                <c:pt idx="3">
                  <c:v>Qtr4</c:v>
                </c:pt>
              </c:strCache>
            </c:strRef>
          </c:cat>
          <c:val>
            <c:numRef>
              <c:f>'Analysis 1'!$AB$4:$AB$7</c:f>
              <c:numCache>
                <c:formatCode>General</c:formatCode>
                <c:ptCount val="4"/>
                <c:pt idx="0">
                  <c:v>53</c:v>
                </c:pt>
                <c:pt idx="1">
                  <c:v>29</c:v>
                </c:pt>
                <c:pt idx="2">
                  <c:v>34</c:v>
                </c:pt>
                <c:pt idx="3">
                  <c:v>35</c:v>
                </c:pt>
              </c:numCache>
            </c:numRef>
          </c:val>
          <c:extLst>
            <c:ext xmlns:c16="http://schemas.microsoft.com/office/drawing/2014/chart" uri="{C3380CC4-5D6E-409C-BE32-E72D297353CC}">
              <c16:uniqueId val="{00000000-7DB1-4154-8CC2-FB69F9764DF4}"/>
            </c:ext>
          </c:extLst>
        </c:ser>
        <c:dLbls>
          <c:dLblPos val="outEnd"/>
          <c:showLegendKey val="0"/>
          <c:showVal val="1"/>
          <c:showCatName val="0"/>
          <c:showSerName val="0"/>
          <c:showPercent val="0"/>
          <c:showBubbleSize val="0"/>
        </c:dLbls>
        <c:gapWidth val="219"/>
        <c:overlap val="-27"/>
        <c:axId val="260537711"/>
        <c:axId val="260537295"/>
      </c:barChart>
      <c:catAx>
        <c:axId val="26053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260537295"/>
        <c:crosses val="autoZero"/>
        <c:auto val="1"/>
        <c:lblAlgn val="ctr"/>
        <c:lblOffset val="100"/>
        <c:noMultiLvlLbl val="0"/>
      </c:catAx>
      <c:valAx>
        <c:axId val="260537295"/>
        <c:scaling>
          <c:orientation val="minMax"/>
        </c:scaling>
        <c:delete val="1"/>
        <c:axPos val="l"/>
        <c:numFmt formatCode="General" sourceLinked="1"/>
        <c:majorTickMark val="none"/>
        <c:minorTickMark val="none"/>
        <c:tickLblPos val="nextTo"/>
        <c:crossAx val="260537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1'!$AE$8</c:f>
              <c:strCache>
                <c:ptCount val="1"/>
                <c:pt idx="0">
                  <c:v> Job Level</c:v>
                </c:pt>
              </c:strCache>
            </c:strRef>
          </c:tx>
          <c:spPr>
            <a:ln>
              <a:noFill/>
            </a:ln>
          </c:spPr>
          <c:dPt>
            <c:idx val="0"/>
            <c:bubble3D val="0"/>
            <c:spPr>
              <a:solidFill>
                <a:srgbClr val="758A33"/>
              </a:solidFill>
              <a:ln w="19050">
                <a:noFill/>
              </a:ln>
              <a:effectLst/>
            </c:spPr>
            <c:extLst>
              <c:ext xmlns:c16="http://schemas.microsoft.com/office/drawing/2014/chart" uri="{C3380CC4-5D6E-409C-BE32-E72D297353CC}">
                <c16:uniqueId val="{00000001-733B-4A42-8722-CC57C86D82DA}"/>
              </c:ext>
            </c:extLst>
          </c:dPt>
          <c:dPt>
            <c:idx val="1"/>
            <c:bubble3D val="0"/>
            <c:spPr>
              <a:solidFill>
                <a:srgbClr val="44446C"/>
              </a:solidFill>
              <a:ln w="19050">
                <a:noFill/>
              </a:ln>
              <a:effectLst/>
            </c:spPr>
            <c:extLst>
              <c:ext xmlns:c16="http://schemas.microsoft.com/office/drawing/2014/chart" uri="{C3380CC4-5D6E-409C-BE32-E72D297353CC}">
                <c16:uniqueId val="{00000003-733B-4A42-8722-CC57C86D82DA}"/>
              </c:ext>
            </c:extLst>
          </c:dPt>
          <c:dPt>
            <c:idx val="2"/>
            <c:bubble3D val="0"/>
            <c:spPr>
              <a:solidFill>
                <a:srgbClr val="913315"/>
              </a:solidFill>
              <a:ln w="19050">
                <a:noFill/>
              </a:ln>
              <a:effectLst/>
            </c:spPr>
            <c:extLst>
              <c:ext xmlns:c16="http://schemas.microsoft.com/office/drawing/2014/chart" uri="{C3380CC4-5D6E-409C-BE32-E72D297353CC}">
                <c16:uniqueId val="{00000005-733B-4A42-8722-CC57C86D82DA}"/>
              </c:ext>
            </c:extLst>
          </c:dPt>
          <c:cat>
            <c:strRef>
              <c:f>'Analysis 1'!$AD$9:$AD$11</c:f>
              <c:strCache>
                <c:ptCount val="3"/>
                <c:pt idx="0">
                  <c:v>31 to 40</c:v>
                </c:pt>
                <c:pt idx="1">
                  <c:v>41 to 50</c:v>
                </c:pt>
                <c:pt idx="2">
                  <c:v>50 to 60</c:v>
                </c:pt>
              </c:strCache>
            </c:strRef>
          </c:cat>
          <c:val>
            <c:numRef>
              <c:f>'Analysis 1'!$AE$9:$AE$11</c:f>
              <c:numCache>
                <c:formatCode>General</c:formatCode>
                <c:ptCount val="3"/>
                <c:pt idx="0">
                  <c:v>51</c:v>
                </c:pt>
                <c:pt idx="1">
                  <c:v>73</c:v>
                </c:pt>
                <c:pt idx="2">
                  <c:v>27</c:v>
                </c:pt>
              </c:numCache>
            </c:numRef>
          </c:val>
          <c:extLst>
            <c:ext xmlns:c16="http://schemas.microsoft.com/office/drawing/2014/chart" uri="{C3380CC4-5D6E-409C-BE32-E72D297353CC}">
              <c16:uniqueId val="{00000006-733B-4A42-8722-CC57C86D82DA}"/>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1'!$AI$8</c:f>
              <c:strCache>
                <c:ptCount val="1"/>
                <c:pt idx="0">
                  <c:v> Job Level</c:v>
                </c:pt>
              </c:strCache>
            </c:strRef>
          </c:tx>
          <c:spPr>
            <a:ln>
              <a:noFill/>
            </a:ln>
          </c:spPr>
          <c:dPt>
            <c:idx val="0"/>
            <c:bubble3D val="0"/>
            <c:spPr>
              <a:solidFill>
                <a:srgbClr val="758A33"/>
              </a:solidFill>
              <a:ln w="19050">
                <a:noFill/>
              </a:ln>
              <a:effectLst/>
            </c:spPr>
            <c:extLst>
              <c:ext xmlns:c16="http://schemas.microsoft.com/office/drawing/2014/chart" uri="{C3380CC4-5D6E-409C-BE32-E72D297353CC}">
                <c16:uniqueId val="{00000001-762E-4DC6-BD17-C15A3527BE92}"/>
              </c:ext>
            </c:extLst>
          </c:dPt>
          <c:dPt>
            <c:idx val="1"/>
            <c:bubble3D val="0"/>
            <c:spPr>
              <a:solidFill>
                <a:srgbClr val="913315"/>
              </a:solidFill>
              <a:ln w="19050">
                <a:noFill/>
              </a:ln>
              <a:effectLst/>
            </c:spPr>
            <c:extLst>
              <c:ext xmlns:c16="http://schemas.microsoft.com/office/drawing/2014/chart" uri="{C3380CC4-5D6E-409C-BE32-E72D297353CC}">
                <c16:uniqueId val="{00000003-762E-4DC6-BD17-C15A3527BE92}"/>
              </c:ext>
            </c:extLst>
          </c:dPt>
          <c:dPt>
            <c:idx val="2"/>
            <c:bubble3D val="0"/>
            <c:spPr>
              <a:solidFill>
                <a:srgbClr val="44446C"/>
              </a:solidFill>
              <a:ln w="19050">
                <a:noFill/>
              </a:ln>
              <a:effectLst/>
            </c:spPr>
            <c:extLst>
              <c:ext xmlns:c16="http://schemas.microsoft.com/office/drawing/2014/chart" uri="{C3380CC4-5D6E-409C-BE32-E72D297353CC}">
                <c16:uniqueId val="{00000005-762E-4DC6-BD17-C15A3527BE92}"/>
              </c:ext>
            </c:extLst>
          </c:dPt>
          <c:cat>
            <c:strRef>
              <c:f>'Analysis 1'!$AH$9:$AH$11</c:f>
              <c:strCache>
                <c:ptCount val="3"/>
                <c:pt idx="0">
                  <c:v>Christian</c:v>
                </c:pt>
                <c:pt idx="1">
                  <c:v>Hindu </c:v>
                </c:pt>
                <c:pt idx="2">
                  <c:v>Muslim</c:v>
                </c:pt>
              </c:strCache>
            </c:strRef>
          </c:cat>
          <c:val>
            <c:numRef>
              <c:f>'Analysis 1'!$AI$9:$AI$11</c:f>
              <c:numCache>
                <c:formatCode>General</c:formatCode>
                <c:ptCount val="3"/>
                <c:pt idx="0">
                  <c:v>27</c:v>
                </c:pt>
                <c:pt idx="1">
                  <c:v>26</c:v>
                </c:pt>
                <c:pt idx="2">
                  <c:v>98</c:v>
                </c:pt>
              </c:numCache>
            </c:numRef>
          </c:val>
          <c:extLst>
            <c:ext xmlns:c16="http://schemas.microsoft.com/office/drawing/2014/chart" uri="{C3380CC4-5D6E-409C-BE32-E72D297353CC}">
              <c16:uniqueId val="{00000006-762E-4DC6-BD17-C15A3527BE92}"/>
            </c:ext>
          </c:extLst>
        </c:ser>
        <c:dLbls>
          <c:showLegendKey val="0"/>
          <c:showVal val="0"/>
          <c:showCatName val="0"/>
          <c:showSerName val="0"/>
          <c:showPercent val="0"/>
          <c:showBubbleSize val="0"/>
          <c:showLeaderLines val="1"/>
        </c:dLbls>
        <c:firstSliceAng val="0"/>
        <c:holeSize val="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[HRDashboard.xlsm]Analysis 1!PivotTable12</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913315"/>
              </a:gs>
              <a:gs pos="100000">
                <a:srgbClr val="141420">
                  <a:alpha val="57000"/>
                </a:srgb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1'!$AM$3</c:f>
              <c:strCache>
                <c:ptCount val="1"/>
                <c:pt idx="0">
                  <c:v>Total</c:v>
                </c:pt>
              </c:strCache>
            </c:strRef>
          </c:tx>
          <c:spPr>
            <a:gradFill flip="none" rotWithShape="1">
              <a:gsLst>
                <a:gs pos="0">
                  <a:srgbClr val="913315"/>
                </a:gs>
                <a:gs pos="100000">
                  <a:srgbClr val="141420">
                    <a:alpha val="57000"/>
                  </a:srgb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1'!$AL$4:$AL$12</c:f>
              <c:strCache>
                <c:ptCount val="9"/>
                <c:pt idx="0">
                  <c:v>Staff</c:v>
                </c:pt>
                <c:pt idx="1">
                  <c:v>Officer</c:v>
                </c:pt>
                <c:pt idx="2">
                  <c:v>Manager</c:v>
                </c:pt>
                <c:pt idx="3">
                  <c:v>Senior Executive</c:v>
                </c:pt>
                <c:pt idx="4">
                  <c:v>Executive</c:v>
                </c:pt>
                <c:pt idx="5">
                  <c:v>Senior Officer</c:v>
                </c:pt>
                <c:pt idx="6">
                  <c:v>President</c:v>
                </c:pt>
                <c:pt idx="7">
                  <c:v>Senior Manager</c:v>
                </c:pt>
                <c:pt idx="8">
                  <c:v>Chief Executive</c:v>
                </c:pt>
              </c:strCache>
            </c:strRef>
          </c:cat>
          <c:val>
            <c:numRef>
              <c:f>'Analysis 1'!$AM$4:$AM$12</c:f>
              <c:numCache>
                <c:formatCode>General</c:formatCode>
                <c:ptCount val="9"/>
                <c:pt idx="0">
                  <c:v>37</c:v>
                </c:pt>
                <c:pt idx="1">
                  <c:v>29</c:v>
                </c:pt>
                <c:pt idx="2">
                  <c:v>23</c:v>
                </c:pt>
                <c:pt idx="3">
                  <c:v>21</c:v>
                </c:pt>
                <c:pt idx="4">
                  <c:v>18</c:v>
                </c:pt>
                <c:pt idx="5">
                  <c:v>17</c:v>
                </c:pt>
                <c:pt idx="6">
                  <c:v>3</c:v>
                </c:pt>
                <c:pt idx="7">
                  <c:v>2</c:v>
                </c:pt>
                <c:pt idx="8">
                  <c:v>1</c:v>
                </c:pt>
              </c:numCache>
            </c:numRef>
          </c:val>
          <c:extLst>
            <c:ext xmlns:c16="http://schemas.microsoft.com/office/drawing/2014/chart" uri="{C3380CC4-5D6E-409C-BE32-E72D297353CC}">
              <c16:uniqueId val="{00000000-9718-4A30-AD1D-F30CFD34100E}"/>
            </c:ext>
          </c:extLst>
        </c:ser>
        <c:dLbls>
          <c:dLblPos val="outEnd"/>
          <c:showLegendKey val="0"/>
          <c:showVal val="1"/>
          <c:showCatName val="0"/>
          <c:showSerName val="0"/>
          <c:showPercent val="0"/>
          <c:showBubbleSize val="0"/>
        </c:dLbls>
        <c:gapWidth val="182"/>
        <c:axId val="516584592"/>
        <c:axId val="516575856"/>
      </c:barChart>
      <c:catAx>
        <c:axId val="5165845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516575856"/>
        <c:crosses val="autoZero"/>
        <c:auto val="1"/>
        <c:lblAlgn val="ctr"/>
        <c:lblOffset val="100"/>
        <c:noMultiLvlLbl val="0"/>
      </c:catAx>
      <c:valAx>
        <c:axId val="516575856"/>
        <c:scaling>
          <c:orientation val="minMax"/>
        </c:scaling>
        <c:delete val="1"/>
        <c:axPos val="t"/>
        <c:numFmt formatCode="General" sourceLinked="1"/>
        <c:majorTickMark val="none"/>
        <c:minorTickMark val="none"/>
        <c:tickLblPos val="nextTo"/>
        <c:crossAx val="5165845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[HRDashboard.xlsm]Analysis 1!PivotTable13</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2000">
                <a:srgbClr val="913315"/>
              </a:gs>
              <a:gs pos="100000">
                <a:srgbClr val="141420">
                  <a:alpha val="57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1'!$AP$3</c:f>
              <c:strCache>
                <c:ptCount val="1"/>
                <c:pt idx="0">
                  <c:v>Total</c:v>
                </c:pt>
              </c:strCache>
            </c:strRef>
          </c:tx>
          <c:spPr>
            <a:gradFill flip="none" rotWithShape="1">
              <a:gsLst>
                <a:gs pos="32000">
                  <a:srgbClr val="913315"/>
                </a:gs>
                <a:gs pos="100000">
                  <a:srgbClr val="141420">
                    <a:alpha val="57000"/>
                  </a:srgb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1'!$AO$4:$AO$6</c:f>
              <c:strCache>
                <c:ptCount val="3"/>
                <c:pt idx="0">
                  <c:v>Frozen Food</c:v>
                </c:pt>
                <c:pt idx="1">
                  <c:v>Non-Frozen Food</c:v>
                </c:pt>
                <c:pt idx="2">
                  <c:v>Shared Services</c:v>
                </c:pt>
              </c:strCache>
            </c:strRef>
          </c:cat>
          <c:val>
            <c:numRef>
              <c:f>'Analysis 1'!$AP$4:$AP$6</c:f>
              <c:numCache>
                <c:formatCode>General</c:formatCode>
                <c:ptCount val="3"/>
                <c:pt idx="0">
                  <c:v>63</c:v>
                </c:pt>
                <c:pt idx="1">
                  <c:v>71</c:v>
                </c:pt>
                <c:pt idx="2">
                  <c:v>17</c:v>
                </c:pt>
              </c:numCache>
            </c:numRef>
          </c:val>
          <c:extLst>
            <c:ext xmlns:c16="http://schemas.microsoft.com/office/drawing/2014/chart" uri="{C3380CC4-5D6E-409C-BE32-E72D297353CC}">
              <c16:uniqueId val="{00000000-ED4B-4280-84D4-9AE3BD84F34C}"/>
            </c:ext>
          </c:extLst>
        </c:ser>
        <c:dLbls>
          <c:showLegendKey val="0"/>
          <c:showVal val="0"/>
          <c:showCatName val="0"/>
          <c:showSerName val="0"/>
          <c:showPercent val="0"/>
          <c:showBubbleSize val="0"/>
        </c:dLbls>
        <c:gapWidth val="219"/>
        <c:overlap val="-27"/>
        <c:axId val="492154192"/>
        <c:axId val="492149616"/>
      </c:barChart>
      <c:catAx>
        <c:axId val="49215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2149616"/>
        <c:crosses val="autoZero"/>
        <c:auto val="1"/>
        <c:lblAlgn val="ctr"/>
        <c:lblOffset val="100"/>
        <c:noMultiLvlLbl val="0"/>
      </c:catAx>
      <c:valAx>
        <c:axId val="492149616"/>
        <c:scaling>
          <c:orientation val="minMax"/>
        </c:scaling>
        <c:delete val="0"/>
        <c:axPos val="l"/>
        <c:majorGridlines>
          <c:spPr>
            <a:ln w="9525" cap="flat" cmpd="sng" algn="ctr">
              <a:solidFill>
                <a:schemeClr val="bg1">
                  <a:lumMod val="65000"/>
                  <a:alpha val="1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154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chart" Target="../charts/chart5.xml"/><Relationship Id="rId5" Type="http://schemas.openxmlformats.org/officeDocument/2006/relationships/image" Target="../media/image4.png"/><Relationship Id="rId10" Type="http://schemas.openxmlformats.org/officeDocument/2006/relationships/chart" Target="../charts/chart4.xml"/><Relationship Id="rId4" Type="http://schemas.openxmlformats.org/officeDocument/2006/relationships/image" Target="../media/image3.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3</xdr:col>
      <xdr:colOff>311150</xdr:colOff>
      <xdr:row>5</xdr:row>
      <xdr:rowOff>108857</xdr:rowOff>
    </xdr:from>
    <xdr:to>
      <xdr:col>7</xdr:col>
      <xdr:colOff>63864</xdr:colOff>
      <xdr:row>11</xdr:row>
      <xdr:rowOff>72279</xdr:rowOff>
    </xdr:to>
    <xdr:sp macro="" textlink="">
      <xdr:nvSpPr>
        <xdr:cNvPr id="2" name="Rectangle 1">
          <a:extLst>
            <a:ext uri="{FF2B5EF4-FFF2-40B4-BE49-F238E27FC236}">
              <a16:creationId xmlns:a16="http://schemas.microsoft.com/office/drawing/2014/main" id="{79036A8A-57EA-734B-2B6E-55DA48662640}"/>
            </a:ext>
          </a:extLst>
        </xdr:cNvPr>
        <xdr:cNvSpPr/>
      </xdr:nvSpPr>
      <xdr:spPr>
        <a:xfrm>
          <a:off x="2148915" y="1165412"/>
          <a:ext cx="2366353" cy="1078673"/>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357414</xdr:colOff>
      <xdr:row>5</xdr:row>
      <xdr:rowOff>108857</xdr:rowOff>
    </xdr:from>
    <xdr:to>
      <xdr:col>7</xdr:col>
      <xdr:colOff>2704557</xdr:colOff>
      <xdr:row>11</xdr:row>
      <xdr:rowOff>72279</xdr:rowOff>
    </xdr:to>
    <xdr:sp macro="" textlink="">
      <xdr:nvSpPr>
        <xdr:cNvPr id="3" name="Rectangle 2">
          <a:extLst>
            <a:ext uri="{FF2B5EF4-FFF2-40B4-BE49-F238E27FC236}">
              <a16:creationId xmlns:a16="http://schemas.microsoft.com/office/drawing/2014/main" id="{66C49421-4319-E4F8-2F55-361A7E70C014}"/>
            </a:ext>
          </a:extLst>
        </xdr:cNvPr>
        <xdr:cNvSpPr/>
      </xdr:nvSpPr>
      <xdr:spPr>
        <a:xfrm>
          <a:off x="4787900" y="1155700"/>
          <a:ext cx="2354400" cy="10656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2996293</xdr:colOff>
      <xdr:row>5</xdr:row>
      <xdr:rowOff>113043</xdr:rowOff>
    </xdr:from>
    <xdr:to>
      <xdr:col>10</xdr:col>
      <xdr:colOff>172721</xdr:colOff>
      <xdr:row>11</xdr:row>
      <xdr:rowOff>72279</xdr:rowOff>
    </xdr:to>
    <xdr:sp macro="" textlink="">
      <xdr:nvSpPr>
        <xdr:cNvPr id="4" name="Rectangle 3">
          <a:extLst>
            <a:ext uri="{FF2B5EF4-FFF2-40B4-BE49-F238E27FC236}">
              <a16:creationId xmlns:a16="http://schemas.microsoft.com/office/drawing/2014/main" id="{A3CEA92A-EB5D-07DC-CB94-0A2B7426036D}"/>
            </a:ext>
          </a:extLst>
        </xdr:cNvPr>
        <xdr:cNvSpPr/>
      </xdr:nvSpPr>
      <xdr:spPr>
        <a:xfrm>
          <a:off x="7447573" y="1162538"/>
          <a:ext cx="2358308" cy="1072927"/>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466271</xdr:colOff>
      <xdr:row>5</xdr:row>
      <xdr:rowOff>108857</xdr:rowOff>
    </xdr:from>
    <xdr:to>
      <xdr:col>14</xdr:col>
      <xdr:colOff>382271</xdr:colOff>
      <xdr:row>11</xdr:row>
      <xdr:rowOff>72279</xdr:rowOff>
    </xdr:to>
    <xdr:sp macro="" textlink="">
      <xdr:nvSpPr>
        <xdr:cNvPr id="5" name="Rectangle 4">
          <a:extLst>
            <a:ext uri="{FF2B5EF4-FFF2-40B4-BE49-F238E27FC236}">
              <a16:creationId xmlns:a16="http://schemas.microsoft.com/office/drawing/2014/main" id="{2687BBE8-8F23-61C7-60E7-F8E72A341FD4}"/>
            </a:ext>
          </a:extLst>
        </xdr:cNvPr>
        <xdr:cNvSpPr/>
      </xdr:nvSpPr>
      <xdr:spPr>
        <a:xfrm>
          <a:off x="10083800" y="1155700"/>
          <a:ext cx="2354400" cy="10656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330200</xdr:colOff>
      <xdr:row>12</xdr:row>
      <xdr:rowOff>54428</xdr:rowOff>
    </xdr:from>
    <xdr:to>
      <xdr:col>7</xdr:col>
      <xdr:colOff>82914</xdr:colOff>
      <xdr:row>16</xdr:row>
      <xdr:rowOff>81029</xdr:rowOff>
    </xdr:to>
    <xdr:sp macro="" textlink="">
      <xdr:nvSpPr>
        <xdr:cNvPr id="6" name="Rectangle 5">
          <a:extLst>
            <a:ext uri="{FF2B5EF4-FFF2-40B4-BE49-F238E27FC236}">
              <a16:creationId xmlns:a16="http://schemas.microsoft.com/office/drawing/2014/main" id="{8A45F6D2-5BC7-9B36-5DE2-A1095412BA28}"/>
            </a:ext>
          </a:extLst>
        </xdr:cNvPr>
        <xdr:cNvSpPr/>
      </xdr:nvSpPr>
      <xdr:spPr>
        <a:xfrm>
          <a:off x="2167965" y="2413000"/>
          <a:ext cx="2366353" cy="773659"/>
        </a:xfrm>
        <a:prstGeom prst="rect">
          <a:avLst/>
        </a:prstGeom>
        <a:solidFill>
          <a:srgbClr val="9ACEEE">
            <a:alpha val="14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376464</xdr:colOff>
      <xdr:row>12</xdr:row>
      <xdr:rowOff>54428</xdr:rowOff>
    </xdr:from>
    <xdr:to>
      <xdr:col>7</xdr:col>
      <xdr:colOff>2723607</xdr:colOff>
      <xdr:row>16</xdr:row>
      <xdr:rowOff>81029</xdr:rowOff>
    </xdr:to>
    <xdr:sp macro="" textlink="">
      <xdr:nvSpPr>
        <xdr:cNvPr id="7" name="Rectangle 6">
          <a:extLst>
            <a:ext uri="{FF2B5EF4-FFF2-40B4-BE49-F238E27FC236}">
              <a16:creationId xmlns:a16="http://schemas.microsoft.com/office/drawing/2014/main" id="{8249B50B-4EBD-261D-8F6F-2051F8D9691B}"/>
            </a:ext>
          </a:extLst>
        </xdr:cNvPr>
        <xdr:cNvSpPr/>
      </xdr:nvSpPr>
      <xdr:spPr>
        <a:xfrm>
          <a:off x="4827868" y="2413000"/>
          <a:ext cx="2366353" cy="773659"/>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3015343</xdr:colOff>
      <xdr:row>12</xdr:row>
      <xdr:rowOff>54428</xdr:rowOff>
    </xdr:from>
    <xdr:to>
      <xdr:col>10</xdr:col>
      <xdr:colOff>191771</xdr:colOff>
      <xdr:row>16</xdr:row>
      <xdr:rowOff>81029</xdr:rowOff>
    </xdr:to>
    <xdr:sp macro="" textlink="">
      <xdr:nvSpPr>
        <xdr:cNvPr id="8" name="Rectangle 7">
          <a:extLst>
            <a:ext uri="{FF2B5EF4-FFF2-40B4-BE49-F238E27FC236}">
              <a16:creationId xmlns:a16="http://schemas.microsoft.com/office/drawing/2014/main" id="{2EA0ADDA-AA2C-D13A-2EBA-0200D37D64AE}"/>
            </a:ext>
          </a:extLst>
        </xdr:cNvPr>
        <xdr:cNvSpPr/>
      </xdr:nvSpPr>
      <xdr:spPr>
        <a:xfrm>
          <a:off x="7490759" y="2413000"/>
          <a:ext cx="2366353" cy="773659"/>
        </a:xfrm>
        <a:prstGeom prst="rect">
          <a:avLst/>
        </a:prstGeom>
        <a:solidFill>
          <a:srgbClr val="9ACEEE">
            <a:alpha val="14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absolute">
    <xdr:from>
      <xdr:col>10</xdr:col>
      <xdr:colOff>485321</xdr:colOff>
      <xdr:row>12</xdr:row>
      <xdr:rowOff>54428</xdr:rowOff>
    </xdr:from>
    <xdr:to>
      <xdr:col>14</xdr:col>
      <xdr:colOff>401321</xdr:colOff>
      <xdr:row>16</xdr:row>
      <xdr:rowOff>81029</xdr:rowOff>
    </xdr:to>
    <xdr:sp macro="" textlink="">
      <xdr:nvSpPr>
        <xdr:cNvPr id="9" name="Rectangle 8">
          <a:extLst>
            <a:ext uri="{FF2B5EF4-FFF2-40B4-BE49-F238E27FC236}">
              <a16:creationId xmlns:a16="http://schemas.microsoft.com/office/drawing/2014/main" id="{DFE11CF0-C8CA-F444-94B1-C4CD9C73C642}"/>
            </a:ext>
          </a:extLst>
        </xdr:cNvPr>
        <xdr:cNvSpPr/>
      </xdr:nvSpPr>
      <xdr:spPr>
        <a:xfrm>
          <a:off x="10150662" y="2413000"/>
          <a:ext cx="2366353" cy="773659"/>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335594</xdr:colOff>
      <xdr:row>17</xdr:row>
      <xdr:rowOff>62510</xdr:rowOff>
    </xdr:from>
    <xdr:to>
      <xdr:col>7</xdr:col>
      <xdr:colOff>88308</xdr:colOff>
      <xdr:row>21</xdr:row>
      <xdr:rowOff>89111</xdr:rowOff>
    </xdr:to>
    <xdr:sp macro="" textlink="">
      <xdr:nvSpPr>
        <xdr:cNvPr id="10" name="Rectangle 9">
          <a:extLst>
            <a:ext uri="{FF2B5EF4-FFF2-40B4-BE49-F238E27FC236}">
              <a16:creationId xmlns:a16="http://schemas.microsoft.com/office/drawing/2014/main" id="{5A9A975F-53BB-E1C5-541D-C0A98C094BDE}"/>
            </a:ext>
          </a:extLst>
        </xdr:cNvPr>
        <xdr:cNvSpPr/>
      </xdr:nvSpPr>
      <xdr:spPr>
        <a:xfrm>
          <a:off x="2164394" y="3316432"/>
          <a:ext cx="2354400" cy="7632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370114</xdr:colOff>
      <xdr:row>17</xdr:row>
      <xdr:rowOff>48078</xdr:rowOff>
    </xdr:from>
    <xdr:to>
      <xdr:col>7</xdr:col>
      <xdr:colOff>2717257</xdr:colOff>
      <xdr:row>21</xdr:row>
      <xdr:rowOff>74679</xdr:rowOff>
    </xdr:to>
    <xdr:sp macro="" textlink="">
      <xdr:nvSpPr>
        <xdr:cNvPr id="11" name="Rectangle 10">
          <a:extLst>
            <a:ext uri="{FF2B5EF4-FFF2-40B4-BE49-F238E27FC236}">
              <a16:creationId xmlns:a16="http://schemas.microsoft.com/office/drawing/2014/main" id="{9A49AC8A-FAE0-F0B7-99C0-320E3A2CE144}"/>
            </a:ext>
          </a:extLst>
        </xdr:cNvPr>
        <xdr:cNvSpPr/>
      </xdr:nvSpPr>
      <xdr:spPr>
        <a:xfrm>
          <a:off x="4800600" y="3302000"/>
          <a:ext cx="2354400" cy="7632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3008993</xdr:colOff>
      <xdr:row>17</xdr:row>
      <xdr:rowOff>61216</xdr:rowOff>
    </xdr:from>
    <xdr:to>
      <xdr:col>10</xdr:col>
      <xdr:colOff>185421</xdr:colOff>
      <xdr:row>21</xdr:row>
      <xdr:rowOff>87817</xdr:rowOff>
    </xdr:to>
    <xdr:sp macro="" textlink="">
      <xdr:nvSpPr>
        <xdr:cNvPr id="12" name="Rectangle 11">
          <a:extLst>
            <a:ext uri="{FF2B5EF4-FFF2-40B4-BE49-F238E27FC236}">
              <a16:creationId xmlns:a16="http://schemas.microsoft.com/office/drawing/2014/main" id="{4DB169E4-89EF-A9E3-A090-6BF4E86285DE}"/>
            </a:ext>
          </a:extLst>
        </xdr:cNvPr>
        <xdr:cNvSpPr/>
      </xdr:nvSpPr>
      <xdr:spPr>
        <a:xfrm>
          <a:off x="7438040" y="3313167"/>
          <a:ext cx="2350896" cy="762324"/>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478971</xdr:colOff>
      <xdr:row>17</xdr:row>
      <xdr:rowOff>48078</xdr:rowOff>
    </xdr:from>
    <xdr:to>
      <xdr:col>14</xdr:col>
      <xdr:colOff>394971</xdr:colOff>
      <xdr:row>21</xdr:row>
      <xdr:rowOff>74679</xdr:rowOff>
    </xdr:to>
    <xdr:sp macro="" textlink="">
      <xdr:nvSpPr>
        <xdr:cNvPr id="13" name="Rectangle 12">
          <a:extLst>
            <a:ext uri="{FF2B5EF4-FFF2-40B4-BE49-F238E27FC236}">
              <a16:creationId xmlns:a16="http://schemas.microsoft.com/office/drawing/2014/main" id="{20A4F89B-8BD7-B81C-5897-85387D08C2EA}"/>
            </a:ext>
          </a:extLst>
        </xdr:cNvPr>
        <xdr:cNvSpPr/>
      </xdr:nvSpPr>
      <xdr:spPr>
        <a:xfrm>
          <a:off x="10096500" y="3302000"/>
          <a:ext cx="2354400" cy="7632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336550</xdr:colOff>
      <xdr:row>22</xdr:row>
      <xdr:rowOff>41728</xdr:rowOff>
    </xdr:from>
    <xdr:to>
      <xdr:col>7</xdr:col>
      <xdr:colOff>89264</xdr:colOff>
      <xdr:row>36</xdr:row>
      <xdr:rowOff>128396</xdr:rowOff>
    </xdr:to>
    <xdr:sp macro="" textlink="">
      <xdr:nvSpPr>
        <xdr:cNvPr id="14" name="Rectangle 13">
          <a:extLst>
            <a:ext uri="{FF2B5EF4-FFF2-40B4-BE49-F238E27FC236}">
              <a16:creationId xmlns:a16="http://schemas.microsoft.com/office/drawing/2014/main" id="{8F35C50F-3D62-DAFC-FE3B-584CADCD53A9}"/>
            </a:ext>
          </a:extLst>
        </xdr:cNvPr>
        <xdr:cNvSpPr/>
      </xdr:nvSpPr>
      <xdr:spPr>
        <a:xfrm>
          <a:off x="2168281" y="4246685"/>
          <a:ext cx="2358307" cy="2689469"/>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338400</xdr:colOff>
      <xdr:row>22</xdr:row>
      <xdr:rowOff>41729</xdr:rowOff>
    </xdr:from>
    <xdr:to>
      <xdr:col>7</xdr:col>
      <xdr:colOff>2685543</xdr:colOff>
      <xdr:row>36</xdr:row>
      <xdr:rowOff>118628</xdr:rowOff>
    </xdr:to>
    <xdr:sp macro="" textlink="">
      <xdr:nvSpPr>
        <xdr:cNvPr id="15" name="Rectangle 14">
          <a:extLst>
            <a:ext uri="{FF2B5EF4-FFF2-40B4-BE49-F238E27FC236}">
              <a16:creationId xmlns:a16="http://schemas.microsoft.com/office/drawing/2014/main" id="{4D805911-ECF3-C8B1-EA72-99E7B07F2D36}"/>
            </a:ext>
          </a:extLst>
        </xdr:cNvPr>
        <xdr:cNvSpPr/>
      </xdr:nvSpPr>
      <xdr:spPr>
        <a:xfrm>
          <a:off x="4775724" y="4246686"/>
          <a:ext cx="2358308" cy="26797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3022177</xdr:colOff>
      <xdr:row>22</xdr:row>
      <xdr:rowOff>41729</xdr:rowOff>
    </xdr:from>
    <xdr:to>
      <xdr:col>10</xdr:col>
      <xdr:colOff>198605</xdr:colOff>
      <xdr:row>36</xdr:row>
      <xdr:rowOff>118628</xdr:rowOff>
    </xdr:to>
    <xdr:sp macro="" textlink="">
      <xdr:nvSpPr>
        <xdr:cNvPr id="16" name="Rectangle 15">
          <a:extLst>
            <a:ext uri="{FF2B5EF4-FFF2-40B4-BE49-F238E27FC236}">
              <a16:creationId xmlns:a16="http://schemas.microsoft.com/office/drawing/2014/main" id="{F3C3BAE5-9525-7CD5-8069-85AF09B1BBE9}"/>
            </a:ext>
          </a:extLst>
        </xdr:cNvPr>
        <xdr:cNvSpPr/>
      </xdr:nvSpPr>
      <xdr:spPr>
        <a:xfrm>
          <a:off x="7473457" y="4246686"/>
          <a:ext cx="2358308" cy="2679700"/>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491671</xdr:colOff>
      <xdr:row>22</xdr:row>
      <xdr:rowOff>41729</xdr:rowOff>
    </xdr:from>
    <xdr:to>
      <xdr:col>14</xdr:col>
      <xdr:colOff>407671</xdr:colOff>
      <xdr:row>36</xdr:row>
      <xdr:rowOff>123512</xdr:rowOff>
    </xdr:to>
    <xdr:sp macro="" textlink="">
      <xdr:nvSpPr>
        <xdr:cNvPr id="17" name="Rectangle 16">
          <a:extLst>
            <a:ext uri="{FF2B5EF4-FFF2-40B4-BE49-F238E27FC236}">
              <a16:creationId xmlns:a16="http://schemas.microsoft.com/office/drawing/2014/main" id="{A6389F09-6A4A-1540-2C4D-49BF7469C88D}"/>
            </a:ext>
          </a:extLst>
        </xdr:cNvPr>
        <xdr:cNvSpPr/>
      </xdr:nvSpPr>
      <xdr:spPr>
        <a:xfrm>
          <a:off x="10080171" y="4160158"/>
          <a:ext cx="2347143" cy="2621783"/>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152400</xdr:colOff>
      <xdr:row>2</xdr:row>
      <xdr:rowOff>25400</xdr:rowOff>
    </xdr:from>
    <xdr:to>
      <xdr:col>6</xdr:col>
      <xdr:colOff>526472</xdr:colOff>
      <xdr:row>3</xdr:row>
      <xdr:rowOff>237547</xdr:rowOff>
    </xdr:to>
    <xdr:sp macro="" textlink="">
      <xdr:nvSpPr>
        <xdr:cNvPr id="18" name="Shape 9">
          <a:extLst>
            <a:ext uri="{FF2B5EF4-FFF2-40B4-BE49-F238E27FC236}">
              <a16:creationId xmlns:a16="http://schemas.microsoft.com/office/drawing/2014/main" id="{EEC75B1D-FC36-408A-B427-DE58C38D3337}"/>
            </a:ext>
          </a:extLst>
        </xdr:cNvPr>
        <xdr:cNvSpPr txBox="1"/>
      </xdr:nvSpPr>
      <xdr:spPr>
        <a:xfrm>
          <a:off x="1981200" y="444500"/>
          <a:ext cx="2209800" cy="3333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0">
              <a:solidFill>
                <a:srgbClr val="BFBFBF"/>
              </a:solidFill>
              <a:latin typeface="Arial"/>
              <a:ea typeface="Arial"/>
              <a:cs typeface="Arial"/>
              <a:sym typeface="Arial"/>
            </a:rPr>
            <a:t>H</a:t>
          </a:r>
          <a:r>
            <a:rPr lang="en-US" sz="1400" b="0">
              <a:solidFill>
                <a:srgbClr val="BFBFBF"/>
              </a:solidFill>
              <a:latin typeface="+mn-lt"/>
              <a:ea typeface="+mn-ea"/>
              <a:cs typeface="+mn-cs"/>
              <a:sym typeface="Arial"/>
            </a:rPr>
            <a:t>R</a:t>
          </a:r>
          <a:r>
            <a:rPr lang="en-US" sz="1400" b="0" baseline="0">
              <a:solidFill>
                <a:srgbClr val="BFBFBF"/>
              </a:solidFill>
              <a:latin typeface="+mn-lt"/>
              <a:ea typeface="+mn-ea"/>
              <a:cs typeface="+mn-cs"/>
              <a:sym typeface="Arial"/>
            </a:rPr>
            <a:t> Analytics</a:t>
          </a:r>
          <a:r>
            <a:rPr lang="en-US" sz="1400">
              <a:solidFill>
                <a:srgbClr val="BFBFBF"/>
              </a:solidFill>
            </a:rPr>
            <a:t> </a:t>
          </a:r>
          <a:r>
            <a:rPr lang="en-US" sz="1400" b="0">
              <a:solidFill>
                <a:srgbClr val="BFBFBF"/>
              </a:solidFill>
              <a:latin typeface="Arial"/>
              <a:ea typeface="Arial"/>
              <a:cs typeface="Arial"/>
              <a:sym typeface="Arial"/>
            </a:rPr>
            <a:t>Dashboard</a:t>
          </a:r>
          <a:endParaRPr sz="1400" b="0">
            <a:solidFill>
              <a:srgbClr val="BFBFBF"/>
            </a:solidFill>
            <a:latin typeface="Arial"/>
            <a:ea typeface="Arial"/>
            <a:cs typeface="Arial"/>
            <a:sym typeface="Arial"/>
          </a:endParaRPr>
        </a:p>
      </xdr:txBody>
    </xdr:sp>
    <xdr:clientData fLocksWithSheet="0"/>
  </xdr:twoCellAnchor>
  <xdr:twoCellAnchor editAs="absolute">
    <xdr:from>
      <xdr:col>10</xdr:col>
      <xdr:colOff>10886</xdr:colOff>
      <xdr:row>0</xdr:row>
      <xdr:rowOff>44450</xdr:rowOff>
    </xdr:from>
    <xdr:to>
      <xdr:col>11</xdr:col>
      <xdr:colOff>375927</xdr:colOff>
      <xdr:row>1</xdr:row>
      <xdr:rowOff>108816</xdr:rowOff>
    </xdr:to>
    <xdr:sp macro="" textlink="">
      <xdr:nvSpPr>
        <xdr:cNvPr id="19" name="Shape 153">
          <a:extLst>
            <a:ext uri="{FF2B5EF4-FFF2-40B4-BE49-F238E27FC236}">
              <a16:creationId xmlns:a16="http://schemas.microsoft.com/office/drawing/2014/main" id="{18290DF8-0020-4BF5-B76F-7B8C64F85B64}"/>
            </a:ext>
          </a:extLst>
        </xdr:cNvPr>
        <xdr:cNvSpPr txBox="1"/>
      </xdr:nvSpPr>
      <xdr:spPr>
        <a:xfrm>
          <a:off x="9626600" y="44450"/>
          <a:ext cx="981075"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4B7E8C"/>
              </a:solidFill>
              <a:latin typeface="Calibri"/>
              <a:ea typeface="Calibri"/>
              <a:cs typeface="Calibri"/>
              <a:sym typeface="Calibri"/>
            </a:rPr>
            <a:t>Current Date:</a:t>
          </a:r>
          <a:endParaRPr sz="1400"/>
        </a:p>
      </xdr:txBody>
    </xdr:sp>
    <xdr:clientData fLocksWithSheet="0"/>
  </xdr:twoCellAnchor>
  <xdr:twoCellAnchor editAs="absolute">
    <xdr:from>
      <xdr:col>3</xdr:col>
      <xdr:colOff>228600</xdr:colOff>
      <xdr:row>3</xdr:row>
      <xdr:rowOff>130175</xdr:rowOff>
    </xdr:from>
    <xdr:to>
      <xdr:col>4</xdr:col>
      <xdr:colOff>178666</xdr:colOff>
      <xdr:row>4</xdr:row>
      <xdr:rowOff>120403</xdr:rowOff>
    </xdr:to>
    <xdr:sp macro="" textlink="">
      <xdr:nvSpPr>
        <xdr:cNvPr id="20" name="Shape 155">
          <a:extLst>
            <a:ext uri="{FF2B5EF4-FFF2-40B4-BE49-F238E27FC236}">
              <a16:creationId xmlns:a16="http://schemas.microsoft.com/office/drawing/2014/main" id="{3FAB2397-4CBD-41DA-A22E-0C197A0837A6}"/>
            </a:ext>
          </a:extLst>
        </xdr:cNvPr>
        <xdr:cNvSpPr txBox="1"/>
      </xdr:nvSpPr>
      <xdr:spPr>
        <a:xfrm>
          <a:off x="2057400" y="669925"/>
          <a:ext cx="561975" cy="3143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D8D8D8"/>
              </a:solidFill>
              <a:latin typeface="Calibri"/>
              <a:ea typeface="Calibri"/>
              <a:cs typeface="Calibri"/>
              <a:sym typeface="Calibri"/>
            </a:rPr>
            <a:t>Home</a:t>
          </a:r>
          <a:endParaRPr sz="1400"/>
        </a:p>
      </xdr:txBody>
    </xdr:sp>
    <xdr:clientData fLocksWithSheet="0"/>
  </xdr:twoCellAnchor>
  <xdr:twoCellAnchor editAs="absolute">
    <xdr:from>
      <xdr:col>4</xdr:col>
      <xdr:colOff>82550</xdr:colOff>
      <xdr:row>3</xdr:row>
      <xdr:rowOff>130175</xdr:rowOff>
    </xdr:from>
    <xdr:to>
      <xdr:col>5</xdr:col>
      <xdr:colOff>480291</xdr:colOff>
      <xdr:row>4</xdr:row>
      <xdr:rowOff>120403</xdr:rowOff>
    </xdr:to>
    <xdr:sp macro="" textlink="">
      <xdr:nvSpPr>
        <xdr:cNvPr id="21" name="Shape 156">
          <a:extLst>
            <a:ext uri="{FF2B5EF4-FFF2-40B4-BE49-F238E27FC236}">
              <a16:creationId xmlns:a16="http://schemas.microsoft.com/office/drawing/2014/main" id="{4F43C8E2-C48C-421C-8445-D260CA5BC852}"/>
            </a:ext>
          </a:extLst>
        </xdr:cNvPr>
        <xdr:cNvSpPr txBox="1"/>
      </xdr:nvSpPr>
      <xdr:spPr>
        <a:xfrm>
          <a:off x="2520950" y="669925"/>
          <a:ext cx="1009650" cy="3143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4B7E8C"/>
              </a:solidFill>
              <a:latin typeface="Calibri"/>
              <a:ea typeface="Calibri"/>
              <a:cs typeface="Calibri"/>
              <a:sym typeface="Calibri"/>
            </a:rPr>
            <a:t>Dashboard</a:t>
          </a:r>
          <a:endParaRPr sz="1400"/>
        </a:p>
      </xdr:txBody>
    </xdr:sp>
    <xdr:clientData fLocksWithSheet="0"/>
  </xdr:twoCellAnchor>
  <xdr:twoCellAnchor editAs="absolute">
    <xdr:from>
      <xdr:col>11</xdr:col>
      <xdr:colOff>256721</xdr:colOff>
      <xdr:row>0</xdr:row>
      <xdr:rowOff>76200</xdr:rowOff>
    </xdr:from>
    <xdr:to>
      <xdr:col>14</xdr:col>
      <xdr:colOff>371928</xdr:colOff>
      <xdr:row>1</xdr:row>
      <xdr:rowOff>81643</xdr:rowOff>
    </xdr:to>
    <xdr:sp macro="" textlink="'Analysis 1'!A1">
      <xdr:nvSpPr>
        <xdr:cNvPr id="22" name="Shape 153">
          <a:extLst>
            <a:ext uri="{FF2B5EF4-FFF2-40B4-BE49-F238E27FC236}">
              <a16:creationId xmlns:a16="http://schemas.microsoft.com/office/drawing/2014/main" id="{B99152F3-5387-F4F9-ECE5-15CF674A0377}"/>
            </a:ext>
          </a:extLst>
        </xdr:cNvPr>
        <xdr:cNvSpPr txBox="1"/>
      </xdr:nvSpPr>
      <xdr:spPr>
        <a:xfrm>
          <a:off x="10453007" y="76200"/>
          <a:ext cx="1938564" cy="2413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73C1B2F2-09D8-46E3-BBE9-377868AB052D}" type="TxLink">
            <a:rPr lang="en-US" sz="1100" b="0" i="0" u="none" strike="noStrike">
              <a:solidFill>
                <a:schemeClr val="bg1">
                  <a:lumMod val="85000"/>
                </a:schemeClr>
              </a:solidFill>
              <a:latin typeface="Calibri"/>
              <a:ea typeface="Calibri"/>
              <a:cs typeface="Calibri"/>
            </a:rPr>
            <a:pPr marL="0" lvl="0" indent="0" algn="ctr" rtl="0">
              <a:spcBef>
                <a:spcPts val="0"/>
              </a:spcBef>
              <a:spcAft>
                <a:spcPts val="0"/>
              </a:spcAft>
              <a:buNone/>
            </a:pPr>
            <a:t>Monday, 26 December, 2022</a:t>
          </a:fld>
          <a:endParaRPr sz="1400" b="0">
            <a:solidFill>
              <a:schemeClr val="bg1">
                <a:lumMod val="85000"/>
              </a:schemeClr>
            </a:solidFill>
          </a:endParaRPr>
        </a:p>
      </xdr:txBody>
    </xdr:sp>
    <xdr:clientData fLocksWithSheet="0"/>
  </xdr:twoCellAnchor>
  <xdr:twoCellAnchor editAs="absolute">
    <xdr:from>
      <xdr:col>3</xdr:col>
      <xdr:colOff>355600</xdr:colOff>
      <xdr:row>5</xdr:row>
      <xdr:rowOff>145650</xdr:rowOff>
    </xdr:from>
    <xdr:to>
      <xdr:col>4</xdr:col>
      <xdr:colOff>590855</xdr:colOff>
      <xdr:row>7</xdr:row>
      <xdr:rowOff>93819</xdr:rowOff>
    </xdr:to>
    <xdr:sp macro="" textlink="">
      <xdr:nvSpPr>
        <xdr:cNvPr id="23" name="Shape 155">
          <a:extLst>
            <a:ext uri="{FF2B5EF4-FFF2-40B4-BE49-F238E27FC236}">
              <a16:creationId xmlns:a16="http://schemas.microsoft.com/office/drawing/2014/main" id="{1105D0F6-F77A-B72E-2D3D-85566B569AD8}"/>
            </a:ext>
          </a:extLst>
        </xdr:cNvPr>
        <xdr:cNvSpPr txBox="1"/>
      </xdr:nvSpPr>
      <xdr:spPr>
        <a:xfrm>
          <a:off x="2193365" y="1202205"/>
          <a:ext cx="847164" cy="3143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D8D8D8"/>
              </a:solidFill>
              <a:latin typeface="Calibri"/>
              <a:ea typeface="Calibri"/>
              <a:cs typeface="Calibri"/>
              <a:sym typeface="Calibri"/>
            </a:rPr>
            <a:t>Total</a:t>
          </a:r>
          <a:r>
            <a:rPr lang="en-US" sz="1100" b="0" baseline="0">
              <a:solidFill>
                <a:srgbClr val="D8D8D8"/>
              </a:solidFill>
              <a:latin typeface="Calibri"/>
              <a:ea typeface="Calibri"/>
              <a:cs typeface="Calibri"/>
              <a:sym typeface="Calibri"/>
            </a:rPr>
            <a:t> Empl.</a:t>
          </a:r>
          <a:endParaRPr sz="1400"/>
        </a:p>
      </xdr:txBody>
    </xdr:sp>
    <xdr:clientData fLocksWithSheet="0"/>
  </xdr:twoCellAnchor>
  <xdr:twoCellAnchor editAs="absolute">
    <xdr:from>
      <xdr:col>4</xdr:col>
      <xdr:colOff>276617</xdr:colOff>
      <xdr:row>7</xdr:row>
      <xdr:rowOff>54429</xdr:rowOff>
    </xdr:from>
    <xdr:to>
      <xdr:col>6</xdr:col>
      <xdr:colOff>26963</xdr:colOff>
      <xdr:row>9</xdr:row>
      <xdr:rowOff>88388</xdr:rowOff>
    </xdr:to>
    <xdr:sp macro="" textlink="'Analysis 1'!B4">
      <xdr:nvSpPr>
        <xdr:cNvPr id="24" name="Shape 155">
          <a:extLst>
            <a:ext uri="{FF2B5EF4-FFF2-40B4-BE49-F238E27FC236}">
              <a16:creationId xmlns:a16="http://schemas.microsoft.com/office/drawing/2014/main" id="{CA1AFA6D-5FE6-F337-D1DA-E4C7AB52C0D8}"/>
            </a:ext>
          </a:extLst>
        </xdr:cNvPr>
        <xdr:cNvSpPr txBox="1"/>
      </xdr:nvSpPr>
      <xdr:spPr>
        <a:xfrm>
          <a:off x="2715017" y="1466850"/>
          <a:ext cx="974165" cy="403413"/>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B0CCA8C-EAFA-432E-9B5E-83BA58495E7E}" type="TxLink">
            <a:rPr lang="en-US" sz="3600" b="1" i="0" u="none" strike="noStrike">
              <a:solidFill>
                <a:schemeClr val="bg1">
                  <a:lumMod val="95000"/>
                </a:schemeClr>
              </a:solidFill>
              <a:latin typeface="Calibri"/>
              <a:ea typeface="Calibri"/>
              <a:cs typeface="Calibri"/>
            </a:rPr>
            <a:pPr marL="0" lvl="0" indent="0" algn="ctr" rtl="0">
              <a:spcBef>
                <a:spcPts val="0"/>
              </a:spcBef>
              <a:spcAft>
                <a:spcPts val="0"/>
              </a:spcAft>
              <a:buNone/>
            </a:pPr>
            <a:t>151</a:t>
          </a:fld>
          <a:endParaRPr sz="4400" b="1">
            <a:solidFill>
              <a:schemeClr val="bg1">
                <a:lumMod val="95000"/>
              </a:schemeClr>
            </a:solidFill>
          </a:endParaRPr>
        </a:p>
      </xdr:txBody>
    </xdr:sp>
    <xdr:clientData fLocksWithSheet="0"/>
  </xdr:twoCellAnchor>
  <xdr:twoCellAnchor editAs="absolute">
    <xdr:from>
      <xdr:col>6</xdr:col>
      <xdr:colOff>171825</xdr:colOff>
      <xdr:row>6</xdr:row>
      <xdr:rowOff>176093</xdr:rowOff>
    </xdr:from>
    <xdr:to>
      <xdr:col>6</xdr:col>
      <xdr:colOff>691577</xdr:colOff>
      <xdr:row>9</xdr:row>
      <xdr:rowOff>137381</xdr:rowOff>
    </xdr:to>
    <xdr:pic>
      <xdr:nvPicPr>
        <xdr:cNvPr id="25" name="image2.png">
          <a:extLst>
            <a:ext uri="{FF2B5EF4-FFF2-40B4-BE49-F238E27FC236}">
              <a16:creationId xmlns:a16="http://schemas.microsoft.com/office/drawing/2014/main" id="{69D287D2-000D-46A3-9271-2BBA31E74B20}"/>
            </a:ext>
          </a:extLst>
        </xdr:cNvPr>
        <xdr:cNvPicPr preferRelativeResize="0"/>
      </xdr:nvPicPr>
      <xdr:blipFill>
        <a:blip xmlns:r="http://schemas.openxmlformats.org/officeDocument/2006/relationships" r:embed="rId1" cstate="print"/>
        <a:stretch>
          <a:fillRect/>
        </a:stretch>
      </xdr:blipFill>
      <xdr:spPr>
        <a:xfrm>
          <a:off x="3818539" y="1391664"/>
          <a:ext cx="523875" cy="515471"/>
        </a:xfrm>
        <a:prstGeom prst="rect">
          <a:avLst/>
        </a:prstGeom>
        <a:noFill/>
      </xdr:spPr>
    </xdr:pic>
    <xdr:clientData fLocksWithSheet="0"/>
  </xdr:twoCellAnchor>
  <xdr:twoCellAnchor editAs="absolute">
    <xdr:from>
      <xdr:col>3</xdr:col>
      <xdr:colOff>170793</xdr:colOff>
      <xdr:row>9</xdr:row>
      <xdr:rowOff>26348</xdr:rowOff>
    </xdr:from>
    <xdr:to>
      <xdr:col>7</xdr:col>
      <xdr:colOff>208955</xdr:colOff>
      <xdr:row>12</xdr:row>
      <xdr:rowOff>11407</xdr:rowOff>
    </xdr:to>
    <xdr:graphicFrame macro="">
      <xdr:nvGraphicFramePr>
        <xdr:cNvPr id="26" name="Chart 25">
          <a:extLst>
            <a:ext uri="{FF2B5EF4-FFF2-40B4-BE49-F238E27FC236}">
              <a16:creationId xmlns:a16="http://schemas.microsoft.com/office/drawing/2014/main" id="{D956773D-ABAC-440A-B2AE-0E6401BF2C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552450</xdr:colOff>
      <xdr:row>7</xdr:row>
      <xdr:rowOff>57604</xdr:rowOff>
    </xdr:from>
    <xdr:to>
      <xdr:col>7</xdr:col>
      <xdr:colOff>1110301</xdr:colOff>
      <xdr:row>9</xdr:row>
      <xdr:rowOff>12000</xdr:rowOff>
    </xdr:to>
    <xdr:sp macro="" textlink="">
      <xdr:nvSpPr>
        <xdr:cNvPr id="27" name="Shape 28">
          <a:extLst>
            <a:ext uri="{FF2B5EF4-FFF2-40B4-BE49-F238E27FC236}">
              <a16:creationId xmlns:a16="http://schemas.microsoft.com/office/drawing/2014/main" id="{A375EFDF-52F1-441B-981D-2F3C12528F0E}"/>
            </a:ext>
          </a:extLst>
        </xdr:cNvPr>
        <xdr:cNvSpPr txBox="1"/>
      </xdr:nvSpPr>
      <xdr:spPr>
        <a:xfrm>
          <a:off x="4984750" y="1470025"/>
          <a:ext cx="561975"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Male</a:t>
          </a:r>
          <a:endParaRPr sz="1400"/>
        </a:p>
      </xdr:txBody>
    </xdr:sp>
    <xdr:clientData fLocksWithSheet="0"/>
  </xdr:twoCellAnchor>
  <xdr:twoCellAnchor editAs="absolute">
    <xdr:from>
      <xdr:col>7</xdr:col>
      <xdr:colOff>1815646</xdr:colOff>
      <xdr:row>7</xdr:row>
      <xdr:rowOff>57604</xdr:rowOff>
    </xdr:from>
    <xdr:to>
      <xdr:col>7</xdr:col>
      <xdr:colOff>2478273</xdr:colOff>
      <xdr:row>9</xdr:row>
      <xdr:rowOff>12000</xdr:rowOff>
    </xdr:to>
    <xdr:sp macro="" textlink="">
      <xdr:nvSpPr>
        <xdr:cNvPr id="28" name="Shape 29">
          <a:extLst>
            <a:ext uri="{FF2B5EF4-FFF2-40B4-BE49-F238E27FC236}">
              <a16:creationId xmlns:a16="http://schemas.microsoft.com/office/drawing/2014/main" id="{5DCB1D56-B870-466D-8C15-B3083C9D25D1}"/>
            </a:ext>
          </a:extLst>
        </xdr:cNvPr>
        <xdr:cNvSpPr txBox="1"/>
      </xdr:nvSpPr>
      <xdr:spPr>
        <a:xfrm>
          <a:off x="6251575" y="1470025"/>
          <a:ext cx="6667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Female</a:t>
          </a:r>
          <a:endParaRPr sz="1400"/>
        </a:p>
      </xdr:txBody>
    </xdr:sp>
    <xdr:clientData fLocksWithSheet="0"/>
  </xdr:twoCellAnchor>
  <xdr:twoCellAnchor editAs="absolute">
    <xdr:from>
      <xdr:col>7</xdr:col>
      <xdr:colOff>742950</xdr:colOff>
      <xdr:row>6</xdr:row>
      <xdr:rowOff>29029</xdr:rowOff>
    </xdr:from>
    <xdr:to>
      <xdr:col>7</xdr:col>
      <xdr:colOff>981075</xdr:colOff>
      <xdr:row>7</xdr:row>
      <xdr:rowOff>111001</xdr:rowOff>
    </xdr:to>
    <xdr:pic>
      <xdr:nvPicPr>
        <xdr:cNvPr id="29" name="image5.png">
          <a:extLst>
            <a:ext uri="{FF2B5EF4-FFF2-40B4-BE49-F238E27FC236}">
              <a16:creationId xmlns:a16="http://schemas.microsoft.com/office/drawing/2014/main" id="{7AEE9FF5-CF66-413D-922F-7AA64B368210}"/>
            </a:ext>
          </a:extLst>
        </xdr:cNvPr>
        <xdr:cNvPicPr preferRelativeResize="0"/>
      </xdr:nvPicPr>
      <xdr:blipFill>
        <a:blip xmlns:r="http://schemas.openxmlformats.org/officeDocument/2006/relationships" r:embed="rId3" cstate="print"/>
        <a:stretch>
          <a:fillRect/>
        </a:stretch>
      </xdr:blipFill>
      <xdr:spPr>
        <a:xfrm>
          <a:off x="5175250" y="1257300"/>
          <a:ext cx="238125" cy="266700"/>
        </a:xfrm>
        <a:prstGeom prst="rect">
          <a:avLst/>
        </a:prstGeom>
        <a:noFill/>
      </xdr:spPr>
    </xdr:pic>
    <xdr:clientData fLocksWithSheet="0"/>
  </xdr:twoCellAnchor>
  <xdr:twoCellAnchor editAs="absolute">
    <xdr:from>
      <xdr:col>7</xdr:col>
      <xdr:colOff>2053771</xdr:colOff>
      <xdr:row>6</xdr:row>
      <xdr:rowOff>29029</xdr:rowOff>
    </xdr:from>
    <xdr:to>
      <xdr:col>7</xdr:col>
      <xdr:colOff>2287773</xdr:colOff>
      <xdr:row>7</xdr:row>
      <xdr:rowOff>111001</xdr:rowOff>
    </xdr:to>
    <xdr:pic>
      <xdr:nvPicPr>
        <xdr:cNvPr id="30" name="image3.png">
          <a:extLst>
            <a:ext uri="{FF2B5EF4-FFF2-40B4-BE49-F238E27FC236}">
              <a16:creationId xmlns:a16="http://schemas.microsoft.com/office/drawing/2014/main" id="{0A95E70F-E368-4F96-B856-047E1D346A7B}"/>
            </a:ext>
          </a:extLst>
        </xdr:cNvPr>
        <xdr:cNvPicPr preferRelativeResize="0"/>
      </xdr:nvPicPr>
      <xdr:blipFill>
        <a:blip xmlns:r="http://schemas.openxmlformats.org/officeDocument/2006/relationships" r:embed="rId4" cstate="print"/>
        <a:stretch>
          <a:fillRect/>
        </a:stretch>
      </xdr:blipFill>
      <xdr:spPr>
        <a:xfrm>
          <a:off x="6489700" y="1257300"/>
          <a:ext cx="238125" cy="266700"/>
        </a:xfrm>
        <a:prstGeom prst="rect">
          <a:avLst/>
        </a:prstGeom>
        <a:noFill/>
      </xdr:spPr>
    </xdr:pic>
    <xdr:clientData fLocksWithSheet="0"/>
  </xdr:twoCellAnchor>
  <xdr:twoCellAnchor editAs="absolute">
    <xdr:from>
      <xdr:col>7</xdr:col>
      <xdr:colOff>558800</xdr:colOff>
      <xdr:row>8</xdr:row>
      <xdr:rowOff>76653</xdr:rowOff>
    </xdr:from>
    <xdr:to>
      <xdr:col>7</xdr:col>
      <xdr:colOff>1116651</xdr:colOff>
      <xdr:row>10</xdr:row>
      <xdr:rowOff>31048</xdr:rowOff>
    </xdr:to>
    <xdr:sp macro="" textlink="'Analysis 1'!H5">
      <xdr:nvSpPr>
        <xdr:cNvPr id="31" name="Shape 28">
          <a:extLst>
            <a:ext uri="{FF2B5EF4-FFF2-40B4-BE49-F238E27FC236}">
              <a16:creationId xmlns:a16="http://schemas.microsoft.com/office/drawing/2014/main" id="{879499CC-608E-7EF4-38EC-45DF86322335}"/>
            </a:ext>
          </a:extLst>
        </xdr:cNvPr>
        <xdr:cNvSpPr txBox="1"/>
      </xdr:nvSpPr>
      <xdr:spPr>
        <a:xfrm>
          <a:off x="4991100" y="1673225"/>
          <a:ext cx="561975"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B1C0778-B639-4CCE-AB20-B2837D06185D}" type="TxLink">
            <a:rPr lang="en-US" sz="16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115</a:t>
          </a:fld>
          <a:endParaRPr sz="2000">
            <a:solidFill>
              <a:schemeClr val="bg1">
                <a:lumMod val="85000"/>
              </a:schemeClr>
            </a:solidFill>
          </a:endParaRPr>
        </a:p>
      </xdr:txBody>
    </xdr:sp>
    <xdr:clientData fLocksWithSheet="0"/>
  </xdr:twoCellAnchor>
  <xdr:twoCellAnchor editAs="absolute">
    <xdr:from>
      <xdr:col>7</xdr:col>
      <xdr:colOff>1821996</xdr:colOff>
      <xdr:row>8</xdr:row>
      <xdr:rowOff>76653</xdr:rowOff>
    </xdr:from>
    <xdr:to>
      <xdr:col>7</xdr:col>
      <xdr:colOff>2484623</xdr:colOff>
      <xdr:row>10</xdr:row>
      <xdr:rowOff>31048</xdr:rowOff>
    </xdr:to>
    <xdr:sp macro="" textlink="'Analysis 1'!H4">
      <xdr:nvSpPr>
        <xdr:cNvPr id="32" name="Shape 29">
          <a:extLst>
            <a:ext uri="{FF2B5EF4-FFF2-40B4-BE49-F238E27FC236}">
              <a16:creationId xmlns:a16="http://schemas.microsoft.com/office/drawing/2014/main" id="{5DCAF425-AB20-2C1C-29F1-89EA02174DDE}"/>
            </a:ext>
          </a:extLst>
        </xdr:cNvPr>
        <xdr:cNvSpPr txBox="1"/>
      </xdr:nvSpPr>
      <xdr:spPr>
        <a:xfrm>
          <a:off x="6257925" y="1673225"/>
          <a:ext cx="6667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7770195A-8B83-46FA-AA3C-2CC02385AFB1}" type="TxLink">
            <a:rPr lang="en-US" sz="16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36</a:t>
          </a:fld>
          <a:endParaRPr sz="16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7</xdr:col>
      <xdr:colOff>552450</xdr:colOff>
      <xdr:row>9</xdr:row>
      <xdr:rowOff>124732</xdr:rowOff>
    </xdr:from>
    <xdr:to>
      <xdr:col>7</xdr:col>
      <xdr:colOff>1170626</xdr:colOff>
      <xdr:row>11</xdr:row>
      <xdr:rowOff>82427</xdr:rowOff>
    </xdr:to>
    <xdr:sp macro="" textlink="'Analysis 1'!I5">
      <xdr:nvSpPr>
        <xdr:cNvPr id="33" name="Shape 28">
          <a:extLst>
            <a:ext uri="{FF2B5EF4-FFF2-40B4-BE49-F238E27FC236}">
              <a16:creationId xmlns:a16="http://schemas.microsoft.com/office/drawing/2014/main" id="{F260447D-19FB-21B3-E60E-EC84F4558AA0}"/>
            </a:ext>
          </a:extLst>
        </xdr:cNvPr>
        <xdr:cNvSpPr txBox="1"/>
      </xdr:nvSpPr>
      <xdr:spPr>
        <a:xfrm>
          <a:off x="4984750" y="1908175"/>
          <a:ext cx="62230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1C693420-7CDC-478D-A861-2FE5DBF840E6}" type="TxLink">
            <a:rPr lang="en-US" sz="1050" b="1"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76.16%</a:t>
          </a:fld>
          <a:endParaRPr sz="1200" b="1">
            <a:solidFill>
              <a:schemeClr val="bg1">
                <a:lumMod val="85000"/>
              </a:schemeClr>
            </a:solidFill>
          </a:endParaRPr>
        </a:p>
      </xdr:txBody>
    </xdr:sp>
    <xdr:clientData fLocksWithSheet="0"/>
  </xdr:twoCellAnchor>
  <xdr:twoCellAnchor editAs="absolute">
    <xdr:from>
      <xdr:col>7</xdr:col>
      <xdr:colOff>1815646</xdr:colOff>
      <xdr:row>9</xdr:row>
      <xdr:rowOff>124732</xdr:rowOff>
    </xdr:from>
    <xdr:to>
      <xdr:col>7</xdr:col>
      <xdr:colOff>2478273</xdr:colOff>
      <xdr:row>11</xdr:row>
      <xdr:rowOff>82427</xdr:rowOff>
    </xdr:to>
    <xdr:sp macro="" textlink="'Analysis 1'!I4">
      <xdr:nvSpPr>
        <xdr:cNvPr id="34" name="Shape 29">
          <a:extLst>
            <a:ext uri="{FF2B5EF4-FFF2-40B4-BE49-F238E27FC236}">
              <a16:creationId xmlns:a16="http://schemas.microsoft.com/office/drawing/2014/main" id="{403AE58E-A44A-CA1E-F8F0-BD010AB561EC}"/>
            </a:ext>
          </a:extLst>
        </xdr:cNvPr>
        <xdr:cNvSpPr txBox="1"/>
      </xdr:nvSpPr>
      <xdr:spPr>
        <a:xfrm>
          <a:off x="6251575" y="1908175"/>
          <a:ext cx="6667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73E6B71C-5F1D-4657-8944-FE0411FF058C}" type="TxLink">
            <a:rPr lang="en-US" sz="1050" b="1"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23.84%</a:t>
          </a:fld>
          <a:endParaRPr sz="105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7</xdr:col>
      <xdr:colOff>2970893</xdr:colOff>
      <xdr:row>5</xdr:row>
      <xdr:rowOff>127907</xdr:rowOff>
    </xdr:from>
    <xdr:to>
      <xdr:col>8</xdr:col>
      <xdr:colOff>41193</xdr:colOff>
      <xdr:row>7</xdr:row>
      <xdr:rowOff>110877</xdr:rowOff>
    </xdr:to>
    <xdr:sp macro="" textlink="">
      <xdr:nvSpPr>
        <xdr:cNvPr id="35" name="Shape 93">
          <a:extLst>
            <a:ext uri="{FF2B5EF4-FFF2-40B4-BE49-F238E27FC236}">
              <a16:creationId xmlns:a16="http://schemas.microsoft.com/office/drawing/2014/main" id="{4696EF9B-256D-4B03-856B-D14679C846A5}"/>
            </a:ext>
          </a:extLst>
        </xdr:cNvPr>
        <xdr:cNvSpPr txBox="1"/>
      </xdr:nvSpPr>
      <xdr:spPr>
        <a:xfrm>
          <a:off x="7410450" y="1174750"/>
          <a:ext cx="1133475" cy="3524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A5A5A5"/>
              </a:solidFill>
              <a:latin typeface="Calibri"/>
              <a:ea typeface="Calibri"/>
              <a:cs typeface="Calibri"/>
              <a:sym typeface="Calibri"/>
            </a:rPr>
            <a:t>Active </a:t>
          </a:r>
          <a:r>
            <a:rPr lang="en-US" sz="1100">
              <a:solidFill>
                <a:srgbClr val="A5A5A5"/>
              </a:solidFill>
              <a:latin typeface="Calibri"/>
              <a:ea typeface="Calibri"/>
              <a:cs typeface="Calibri"/>
              <a:sym typeface="Calibri"/>
            </a:rPr>
            <a:t>Employees</a:t>
          </a:r>
          <a:endParaRPr sz="1400"/>
        </a:p>
      </xdr:txBody>
    </xdr:sp>
    <xdr:clientData fLocksWithSheet="0"/>
  </xdr:twoCellAnchor>
  <xdr:twoCellAnchor editAs="absolute">
    <xdr:from>
      <xdr:col>10</xdr:col>
      <xdr:colOff>405946</xdr:colOff>
      <xdr:row>5</xdr:row>
      <xdr:rowOff>108857</xdr:rowOff>
    </xdr:from>
    <xdr:to>
      <xdr:col>12</xdr:col>
      <xdr:colOff>302903</xdr:colOff>
      <xdr:row>7</xdr:row>
      <xdr:rowOff>47501</xdr:rowOff>
    </xdr:to>
    <xdr:sp macro="" textlink="">
      <xdr:nvSpPr>
        <xdr:cNvPr id="36" name="Shape 94">
          <a:extLst>
            <a:ext uri="{FF2B5EF4-FFF2-40B4-BE49-F238E27FC236}">
              <a16:creationId xmlns:a16="http://schemas.microsoft.com/office/drawing/2014/main" id="{65F54D69-F1AB-46BB-ABD8-BD7EB1D6C1F1}"/>
            </a:ext>
          </a:extLst>
        </xdr:cNvPr>
        <xdr:cNvSpPr txBox="1"/>
      </xdr:nvSpPr>
      <xdr:spPr>
        <a:xfrm>
          <a:off x="10023475" y="1155700"/>
          <a:ext cx="112077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A5A5A5"/>
              </a:solidFill>
              <a:latin typeface="Calibri"/>
              <a:ea typeface="Calibri"/>
              <a:cs typeface="Calibri"/>
              <a:sym typeface="Calibri"/>
            </a:rPr>
            <a:t>Inactive Employees</a:t>
          </a:r>
          <a:endParaRPr sz="1400"/>
        </a:p>
      </xdr:txBody>
    </xdr:sp>
    <xdr:clientData fLocksWithSheet="0"/>
  </xdr:twoCellAnchor>
  <xdr:twoCellAnchor editAs="absolute">
    <xdr:from>
      <xdr:col>7</xdr:col>
      <xdr:colOff>3177268</xdr:colOff>
      <xdr:row>8</xdr:row>
      <xdr:rowOff>16328</xdr:rowOff>
    </xdr:from>
    <xdr:to>
      <xdr:col>7</xdr:col>
      <xdr:colOff>3801794</xdr:colOff>
      <xdr:row>10</xdr:row>
      <xdr:rowOff>148400</xdr:rowOff>
    </xdr:to>
    <xdr:pic>
      <xdr:nvPicPr>
        <xdr:cNvPr id="37" name="image1.png">
          <a:extLst>
            <a:ext uri="{FF2B5EF4-FFF2-40B4-BE49-F238E27FC236}">
              <a16:creationId xmlns:a16="http://schemas.microsoft.com/office/drawing/2014/main" id="{23502295-A00F-4A9E-B334-0E570634535D}"/>
            </a:ext>
          </a:extLst>
        </xdr:cNvPr>
        <xdr:cNvPicPr preferRelativeResize="0"/>
      </xdr:nvPicPr>
      <xdr:blipFill>
        <a:blip xmlns:r="http://schemas.openxmlformats.org/officeDocument/2006/relationships" r:embed="rId5" cstate="print"/>
        <a:stretch>
          <a:fillRect/>
        </a:stretch>
      </xdr:blipFill>
      <xdr:spPr>
        <a:xfrm>
          <a:off x="7616825" y="1612900"/>
          <a:ext cx="628650" cy="504825"/>
        </a:xfrm>
        <a:prstGeom prst="rect">
          <a:avLst/>
        </a:prstGeom>
        <a:noFill/>
      </xdr:spPr>
    </xdr:pic>
    <xdr:clientData fLocksWithSheet="0"/>
  </xdr:twoCellAnchor>
  <xdr:twoCellAnchor editAs="absolute">
    <xdr:from>
      <xdr:col>11</xdr:col>
      <xdr:colOff>186871</xdr:colOff>
      <xdr:row>7</xdr:row>
      <xdr:rowOff>172357</xdr:rowOff>
    </xdr:from>
    <xdr:to>
      <xdr:col>11</xdr:col>
      <xdr:colOff>605971</xdr:colOff>
      <xdr:row>10</xdr:row>
      <xdr:rowOff>78673</xdr:rowOff>
    </xdr:to>
    <xdr:pic>
      <xdr:nvPicPr>
        <xdr:cNvPr id="38" name="image4.png">
          <a:extLst>
            <a:ext uri="{FF2B5EF4-FFF2-40B4-BE49-F238E27FC236}">
              <a16:creationId xmlns:a16="http://schemas.microsoft.com/office/drawing/2014/main" id="{E9C5E74E-5FAE-484E-8788-37B4016AC729}"/>
            </a:ext>
          </a:extLst>
        </xdr:cNvPr>
        <xdr:cNvPicPr preferRelativeResize="0"/>
      </xdr:nvPicPr>
      <xdr:blipFill>
        <a:blip xmlns:r="http://schemas.openxmlformats.org/officeDocument/2006/relationships" r:embed="rId6" cstate="print"/>
        <a:stretch>
          <a:fillRect/>
        </a:stretch>
      </xdr:blipFill>
      <xdr:spPr>
        <a:xfrm>
          <a:off x="10414000" y="1587500"/>
          <a:ext cx="419100" cy="457200"/>
        </a:xfrm>
        <a:prstGeom prst="rect">
          <a:avLst/>
        </a:prstGeom>
        <a:noFill/>
      </xdr:spPr>
    </xdr:pic>
    <xdr:clientData fLocksWithSheet="0"/>
  </xdr:twoCellAnchor>
  <xdr:twoCellAnchor editAs="absolute">
    <xdr:from>
      <xdr:col>7</xdr:col>
      <xdr:colOff>4000208</xdr:colOff>
      <xdr:row>8</xdr:row>
      <xdr:rowOff>32203</xdr:rowOff>
    </xdr:from>
    <xdr:to>
      <xdr:col>9</xdr:col>
      <xdr:colOff>271246</xdr:colOff>
      <xdr:row>10</xdr:row>
      <xdr:rowOff>90396</xdr:rowOff>
    </xdr:to>
    <xdr:sp macro="" textlink="'Analysis 1'!L4">
      <xdr:nvSpPr>
        <xdr:cNvPr id="39" name="Shape 29">
          <a:extLst>
            <a:ext uri="{FF2B5EF4-FFF2-40B4-BE49-F238E27FC236}">
              <a16:creationId xmlns:a16="http://schemas.microsoft.com/office/drawing/2014/main" id="{310E9A7D-393C-A222-8C70-2C8FD5AC1834}"/>
            </a:ext>
          </a:extLst>
        </xdr:cNvPr>
        <xdr:cNvSpPr txBox="1"/>
      </xdr:nvSpPr>
      <xdr:spPr>
        <a:xfrm>
          <a:off x="8480427" y="1643716"/>
          <a:ext cx="941998" cy="427648"/>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EE5DF582-5F6C-4B94-87A0-3DCAB73836D4}" type="TxLink">
            <a:rPr lang="en-US" sz="3200" b="0" i="0" u="none" strike="noStrike">
              <a:solidFill>
                <a:schemeClr val="bg1">
                  <a:lumMod val="75000"/>
                </a:schemeClr>
              </a:solidFill>
              <a:latin typeface="Calibri"/>
              <a:ea typeface="Calibri"/>
              <a:cs typeface="Calibri"/>
              <a:sym typeface="Calibri"/>
            </a:rPr>
            <a:pPr marL="0" lvl="0" indent="0" algn="ctr" rtl="0">
              <a:spcBef>
                <a:spcPts val="0"/>
              </a:spcBef>
              <a:spcAft>
                <a:spcPts val="0"/>
              </a:spcAft>
              <a:buNone/>
            </a:pPr>
            <a:t>139</a:t>
          </a:fld>
          <a:endParaRPr sz="3200" b="0" i="0" u="none" strike="noStrike">
            <a:solidFill>
              <a:schemeClr val="bg1">
                <a:lumMod val="75000"/>
              </a:schemeClr>
            </a:solidFill>
            <a:latin typeface="Calibri"/>
            <a:ea typeface="Calibri"/>
            <a:cs typeface="Calibri"/>
          </a:endParaRPr>
        </a:p>
      </xdr:txBody>
    </xdr:sp>
    <xdr:clientData fLocksWithSheet="0"/>
  </xdr:twoCellAnchor>
  <xdr:twoCellAnchor editAs="absolute">
    <xdr:from>
      <xdr:col>12</xdr:col>
      <xdr:colOff>228147</xdr:colOff>
      <xdr:row>8</xdr:row>
      <xdr:rowOff>453</xdr:rowOff>
    </xdr:from>
    <xdr:to>
      <xdr:col>13</xdr:col>
      <xdr:colOff>558236</xdr:colOff>
      <xdr:row>10</xdr:row>
      <xdr:rowOff>58646</xdr:rowOff>
    </xdr:to>
    <xdr:sp macro="" textlink="'Analysis 1'!L5">
      <xdr:nvSpPr>
        <xdr:cNvPr id="40" name="Shape 29">
          <a:extLst>
            <a:ext uri="{FF2B5EF4-FFF2-40B4-BE49-F238E27FC236}">
              <a16:creationId xmlns:a16="http://schemas.microsoft.com/office/drawing/2014/main" id="{89D25AA2-FDE4-981B-07DB-7532412DD15D}"/>
            </a:ext>
          </a:extLst>
        </xdr:cNvPr>
        <xdr:cNvSpPr txBox="1"/>
      </xdr:nvSpPr>
      <xdr:spPr>
        <a:xfrm>
          <a:off x="11082460" y="1606794"/>
          <a:ext cx="941998" cy="427648"/>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CD2FFE85-1892-478C-95D8-28F13A6EF94D}" type="TxLink">
            <a:rPr lang="en-US" sz="3200" b="0" i="0" u="none" strike="noStrike">
              <a:solidFill>
                <a:schemeClr val="bg1">
                  <a:lumMod val="75000"/>
                </a:schemeClr>
              </a:solidFill>
              <a:latin typeface="Calibri"/>
              <a:ea typeface="Calibri"/>
              <a:cs typeface="Calibri"/>
              <a:sym typeface="Calibri"/>
            </a:rPr>
            <a:pPr marL="0" lvl="0" indent="0" algn="ctr" rtl="0">
              <a:spcBef>
                <a:spcPts val="0"/>
              </a:spcBef>
              <a:spcAft>
                <a:spcPts val="0"/>
              </a:spcAft>
              <a:buNone/>
            </a:pPr>
            <a:t>12</a:t>
          </a:fld>
          <a:endParaRPr sz="3200" b="0" i="0" u="none" strike="noStrike">
            <a:solidFill>
              <a:schemeClr val="bg1">
                <a:lumMod val="75000"/>
              </a:schemeClr>
            </a:solidFill>
            <a:latin typeface="Calibri"/>
            <a:ea typeface="Calibri"/>
            <a:cs typeface="Calibri"/>
          </a:endParaRPr>
        </a:p>
      </xdr:txBody>
    </xdr:sp>
    <xdr:clientData fLocksWithSheet="0"/>
  </xdr:twoCellAnchor>
  <xdr:twoCellAnchor editAs="absolute">
    <xdr:from>
      <xdr:col>9</xdr:col>
      <xdr:colOff>110288</xdr:colOff>
      <xdr:row>5</xdr:row>
      <xdr:rowOff>95215</xdr:rowOff>
    </xdr:from>
    <xdr:to>
      <xdr:col>10</xdr:col>
      <xdr:colOff>264914</xdr:colOff>
      <xdr:row>7</xdr:row>
      <xdr:rowOff>49611</xdr:rowOff>
    </xdr:to>
    <xdr:sp macro="" textlink="'Analysis 1'!M4">
      <xdr:nvSpPr>
        <xdr:cNvPr id="41" name="Shape 29">
          <a:extLst>
            <a:ext uri="{FF2B5EF4-FFF2-40B4-BE49-F238E27FC236}">
              <a16:creationId xmlns:a16="http://schemas.microsoft.com/office/drawing/2014/main" id="{AAFDD1B9-171E-8429-62CF-246175CAE11F}"/>
            </a:ext>
          </a:extLst>
        </xdr:cNvPr>
        <xdr:cNvSpPr txBox="1"/>
      </xdr:nvSpPr>
      <xdr:spPr>
        <a:xfrm>
          <a:off x="9232656" y="1144710"/>
          <a:ext cx="6667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C06F696D-B306-473D-89FC-4C5929432BC9}" type="TxLink">
            <a:rPr lang="en-US" sz="1100" b="0" i="1" u="none" strike="noStrike">
              <a:solidFill>
                <a:schemeClr val="bg1">
                  <a:lumMod val="75000"/>
                </a:schemeClr>
              </a:solidFill>
              <a:latin typeface="Calibri"/>
              <a:ea typeface="Calibri"/>
              <a:cs typeface="Calibri"/>
            </a:rPr>
            <a:pPr marL="0" lvl="0" indent="0" algn="ctr" rtl="0">
              <a:spcBef>
                <a:spcPts val="0"/>
              </a:spcBef>
              <a:spcAft>
                <a:spcPts val="0"/>
              </a:spcAft>
              <a:buNone/>
            </a:pPr>
            <a:t>92.1%</a:t>
          </a:fld>
          <a:endParaRPr lang="en-US" sz="1100" b="0" i="1" u="none" strike="noStrike">
            <a:solidFill>
              <a:schemeClr val="bg1">
                <a:lumMod val="75000"/>
              </a:schemeClr>
            </a:solidFill>
            <a:latin typeface="Calibri"/>
            <a:ea typeface="Calibri"/>
            <a:cs typeface="Calibri"/>
          </a:endParaRPr>
        </a:p>
      </xdr:txBody>
    </xdr:sp>
    <xdr:clientData fLocksWithSheet="0"/>
  </xdr:twoCellAnchor>
  <xdr:twoCellAnchor editAs="absolute">
    <xdr:from>
      <xdr:col>13</xdr:col>
      <xdr:colOff>433301</xdr:colOff>
      <xdr:row>5</xdr:row>
      <xdr:rowOff>63465</xdr:rowOff>
    </xdr:from>
    <xdr:to>
      <xdr:col>14</xdr:col>
      <xdr:colOff>488141</xdr:colOff>
      <xdr:row>7</xdr:row>
      <xdr:rowOff>17861</xdr:rowOff>
    </xdr:to>
    <xdr:sp macro="" textlink="'Analysis 1'!M5">
      <xdr:nvSpPr>
        <xdr:cNvPr id="42" name="Shape 29">
          <a:extLst>
            <a:ext uri="{FF2B5EF4-FFF2-40B4-BE49-F238E27FC236}">
              <a16:creationId xmlns:a16="http://schemas.microsoft.com/office/drawing/2014/main" id="{33403512-85ED-2297-EDEF-C0DA5D2A9307}"/>
            </a:ext>
          </a:extLst>
        </xdr:cNvPr>
        <xdr:cNvSpPr txBox="1"/>
      </xdr:nvSpPr>
      <xdr:spPr>
        <a:xfrm>
          <a:off x="11898191" y="1112960"/>
          <a:ext cx="6667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0774808A-A323-4572-B541-8C95CF62B044}" type="TxLink">
            <a:rPr lang="en-US" sz="1100" b="0" i="1" u="none" strike="noStrike">
              <a:solidFill>
                <a:schemeClr val="bg1">
                  <a:lumMod val="75000"/>
                </a:schemeClr>
              </a:solidFill>
              <a:latin typeface="Calibri"/>
              <a:ea typeface="Calibri"/>
              <a:cs typeface="Calibri"/>
              <a:sym typeface="Calibri"/>
            </a:rPr>
            <a:pPr marL="0" lvl="0" indent="0" algn="ctr" rtl="0">
              <a:spcBef>
                <a:spcPts val="0"/>
              </a:spcBef>
              <a:spcAft>
                <a:spcPts val="0"/>
              </a:spcAft>
              <a:buNone/>
            </a:pPr>
            <a:t>7.9%</a:t>
          </a:fld>
          <a:endParaRPr sz="1600" b="0" i="1" u="none" strike="noStrike">
            <a:solidFill>
              <a:schemeClr val="bg1">
                <a:lumMod val="75000"/>
              </a:schemeClr>
            </a:solidFill>
            <a:latin typeface="Calibri"/>
            <a:ea typeface="Calibri"/>
            <a:cs typeface="Calibri"/>
          </a:endParaRPr>
        </a:p>
      </xdr:txBody>
    </xdr:sp>
    <xdr:clientData fLocksWithSheet="0"/>
  </xdr:twoCellAnchor>
  <xdr:twoCellAnchor editAs="absolute">
    <xdr:from>
      <xdr:col>9</xdr:col>
      <xdr:colOff>138862</xdr:colOff>
      <xdr:row>6</xdr:row>
      <xdr:rowOff>20228</xdr:rowOff>
    </xdr:from>
    <xdr:to>
      <xdr:col>9</xdr:col>
      <xdr:colOff>217016</xdr:colOff>
      <xdr:row>6</xdr:row>
      <xdr:rowOff>120246</xdr:rowOff>
    </xdr:to>
    <xdr:sp macro="" textlink="">
      <xdr:nvSpPr>
        <xdr:cNvPr id="45" name="Isosceles Triangle 44">
          <a:extLst>
            <a:ext uri="{FF2B5EF4-FFF2-40B4-BE49-F238E27FC236}">
              <a16:creationId xmlns:a16="http://schemas.microsoft.com/office/drawing/2014/main" id="{ED9A2657-6924-4CBA-976D-701822ADE310}"/>
            </a:ext>
          </a:extLst>
        </xdr:cNvPr>
        <xdr:cNvSpPr/>
      </xdr:nvSpPr>
      <xdr:spPr>
        <a:xfrm>
          <a:off x="9261230" y="1255337"/>
          <a:ext cx="78154" cy="104205"/>
        </a:xfrm>
        <a:prstGeom prst="triangle">
          <a:avLst/>
        </a:prstGeom>
        <a:solidFill>
          <a:srgbClr val="758A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497533</xdr:colOff>
      <xdr:row>5</xdr:row>
      <xdr:rowOff>177233</xdr:rowOff>
    </xdr:from>
    <xdr:to>
      <xdr:col>13</xdr:col>
      <xdr:colOff>575687</xdr:colOff>
      <xdr:row>6</xdr:row>
      <xdr:rowOff>100010</xdr:rowOff>
    </xdr:to>
    <xdr:sp macro="" textlink="">
      <xdr:nvSpPr>
        <xdr:cNvPr id="46" name="Isosceles Triangle 45">
          <a:extLst>
            <a:ext uri="{FF2B5EF4-FFF2-40B4-BE49-F238E27FC236}">
              <a16:creationId xmlns:a16="http://schemas.microsoft.com/office/drawing/2014/main" id="{2B5689AA-A509-1F74-D66D-5A3DF55FBA8D}"/>
            </a:ext>
          </a:extLst>
        </xdr:cNvPr>
        <xdr:cNvSpPr/>
      </xdr:nvSpPr>
      <xdr:spPr>
        <a:xfrm flipV="1">
          <a:off x="11962423" y="1230914"/>
          <a:ext cx="78154" cy="104205"/>
        </a:xfrm>
        <a:prstGeom prst="triangle">
          <a:avLst/>
        </a:prstGeom>
        <a:solidFill>
          <a:srgbClr val="758A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478117</xdr:colOff>
      <xdr:row>13</xdr:row>
      <xdr:rowOff>16329</xdr:rowOff>
    </xdr:from>
    <xdr:to>
      <xdr:col>4</xdr:col>
      <xdr:colOff>323408</xdr:colOff>
      <xdr:row>15</xdr:row>
      <xdr:rowOff>110300</xdr:rowOff>
    </xdr:to>
    <xdr:sp macro="" textlink="">
      <xdr:nvSpPr>
        <xdr:cNvPr id="43" name="Shape 76">
          <a:extLst>
            <a:ext uri="{FF2B5EF4-FFF2-40B4-BE49-F238E27FC236}">
              <a16:creationId xmlns:a16="http://schemas.microsoft.com/office/drawing/2014/main" id="{C2C20B9E-4A76-4FA2-9B76-04CBE4B1370A}"/>
            </a:ext>
          </a:extLst>
        </xdr:cNvPr>
        <xdr:cNvSpPr/>
      </xdr:nvSpPr>
      <xdr:spPr>
        <a:xfrm>
          <a:off x="2315882" y="2561665"/>
          <a:ext cx="457200" cy="466725"/>
        </a:xfrm>
        <a:prstGeom prst="ellipse">
          <a:avLst/>
        </a:prstGeom>
        <a:solidFill>
          <a:srgbClr val="141420"/>
        </a:solidFill>
        <a:ln w="15875" cap="flat" cmpd="sng">
          <a:solidFill>
            <a:srgbClr val="8296B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twoCellAnchor>
  <xdr:twoCellAnchor editAs="absolute">
    <xdr:from>
      <xdr:col>4</xdr:col>
      <xdr:colOff>592419</xdr:colOff>
      <xdr:row>14</xdr:row>
      <xdr:rowOff>95893</xdr:rowOff>
    </xdr:from>
    <xdr:to>
      <xdr:col>6</xdr:col>
      <xdr:colOff>159175</xdr:colOff>
      <xdr:row>16</xdr:row>
      <xdr:rowOff>50289</xdr:rowOff>
    </xdr:to>
    <xdr:sp macro="" textlink="">
      <xdr:nvSpPr>
        <xdr:cNvPr id="44" name="Shape 77">
          <a:extLst>
            <a:ext uri="{FF2B5EF4-FFF2-40B4-BE49-F238E27FC236}">
              <a16:creationId xmlns:a16="http://schemas.microsoft.com/office/drawing/2014/main" id="{08E1C6D8-8F5D-48AA-89AF-D3C27250F0FB}"/>
            </a:ext>
          </a:extLst>
        </xdr:cNvPr>
        <xdr:cNvSpPr txBox="1"/>
      </xdr:nvSpPr>
      <xdr:spPr>
        <a:xfrm>
          <a:off x="3042772" y="2827993"/>
          <a:ext cx="790575"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Single</a:t>
          </a:r>
          <a:endParaRPr sz="1400"/>
        </a:p>
      </xdr:txBody>
    </xdr:sp>
    <xdr:clientData fLocksWithSheet="0"/>
  </xdr:twoCellAnchor>
  <xdr:twoCellAnchor editAs="absolute">
    <xdr:from>
      <xdr:col>6</xdr:col>
      <xdr:colOff>272674</xdr:colOff>
      <xdr:row>12</xdr:row>
      <xdr:rowOff>88793</xdr:rowOff>
    </xdr:from>
    <xdr:to>
      <xdr:col>7</xdr:col>
      <xdr:colOff>78504</xdr:colOff>
      <xdr:row>13</xdr:row>
      <xdr:rowOff>138893</xdr:rowOff>
    </xdr:to>
    <xdr:sp macro="" textlink="">
      <xdr:nvSpPr>
        <xdr:cNvPr id="47" name="Shape 78">
          <a:extLst>
            <a:ext uri="{FF2B5EF4-FFF2-40B4-BE49-F238E27FC236}">
              <a16:creationId xmlns:a16="http://schemas.microsoft.com/office/drawing/2014/main" id="{272CE81E-5E60-4F6C-A42A-CCE36C662B4F}"/>
            </a:ext>
          </a:extLst>
        </xdr:cNvPr>
        <xdr:cNvSpPr txBox="1"/>
      </xdr:nvSpPr>
      <xdr:spPr>
        <a:xfrm>
          <a:off x="3948203" y="2447365"/>
          <a:ext cx="581025" cy="23812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7F7F7F"/>
              </a:solidFill>
              <a:latin typeface="Calibri"/>
              <a:ea typeface="Calibri"/>
              <a:cs typeface="Calibri"/>
              <a:sym typeface="Calibri"/>
            </a:rPr>
            <a:t>Status</a:t>
          </a:r>
          <a:endParaRPr sz="1400"/>
        </a:p>
      </xdr:txBody>
    </xdr:sp>
    <xdr:clientData fLocksWithSheet="0"/>
  </xdr:twoCellAnchor>
  <xdr:twoCellAnchor editAs="absolute">
    <xdr:from>
      <xdr:col>7</xdr:col>
      <xdr:colOff>494365</xdr:colOff>
      <xdr:row>12</xdr:row>
      <xdr:rowOff>112032</xdr:rowOff>
    </xdr:from>
    <xdr:to>
      <xdr:col>7</xdr:col>
      <xdr:colOff>1099841</xdr:colOff>
      <xdr:row>16</xdr:row>
      <xdr:rowOff>14597</xdr:rowOff>
    </xdr:to>
    <xdr:sp macro="" textlink="">
      <xdr:nvSpPr>
        <xdr:cNvPr id="48" name="Shape 80">
          <a:extLst>
            <a:ext uri="{FF2B5EF4-FFF2-40B4-BE49-F238E27FC236}">
              <a16:creationId xmlns:a16="http://schemas.microsoft.com/office/drawing/2014/main" id="{0C1C6641-2BB9-4B5C-B45F-EE9B85445F44}"/>
            </a:ext>
          </a:extLst>
        </xdr:cNvPr>
        <xdr:cNvSpPr/>
      </xdr:nvSpPr>
      <xdr:spPr>
        <a:xfrm>
          <a:off x="4950571" y="2475940"/>
          <a:ext cx="609600" cy="638175"/>
        </a:xfrm>
        <a:prstGeom prst="ellipse">
          <a:avLst/>
        </a:prstGeom>
        <a:solidFill>
          <a:srgbClr val="141420"/>
        </a:solidFill>
        <a:ln w="15875" cap="flat" cmpd="sng">
          <a:solidFill>
            <a:srgbClr val="8296B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twoCellAnchor>
  <xdr:twoCellAnchor editAs="absolute">
    <xdr:from>
      <xdr:col>7</xdr:col>
      <xdr:colOff>1294334</xdr:colOff>
      <xdr:row>14</xdr:row>
      <xdr:rowOff>111207</xdr:rowOff>
    </xdr:from>
    <xdr:to>
      <xdr:col>7</xdr:col>
      <xdr:colOff>2128411</xdr:colOff>
      <xdr:row>16</xdr:row>
      <xdr:rowOff>46553</xdr:rowOff>
    </xdr:to>
    <xdr:sp macro="" textlink="">
      <xdr:nvSpPr>
        <xdr:cNvPr id="49" name="Shape 81">
          <a:extLst>
            <a:ext uri="{FF2B5EF4-FFF2-40B4-BE49-F238E27FC236}">
              <a16:creationId xmlns:a16="http://schemas.microsoft.com/office/drawing/2014/main" id="{C6327EB1-8520-41B5-8A0E-EFB717FAAEF4}"/>
            </a:ext>
          </a:extLst>
        </xdr:cNvPr>
        <xdr:cNvSpPr txBox="1"/>
      </xdr:nvSpPr>
      <xdr:spPr>
        <a:xfrm>
          <a:off x="5755343" y="2843307"/>
          <a:ext cx="838200"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Married</a:t>
          </a:r>
          <a:endParaRPr sz="1400"/>
        </a:p>
      </xdr:txBody>
    </xdr:sp>
    <xdr:clientData fLocksWithSheet="0"/>
  </xdr:twoCellAnchor>
  <xdr:twoCellAnchor editAs="absolute">
    <xdr:from>
      <xdr:col>7</xdr:col>
      <xdr:colOff>2142855</xdr:colOff>
      <xdr:row>12</xdr:row>
      <xdr:rowOff>54428</xdr:rowOff>
    </xdr:from>
    <xdr:to>
      <xdr:col>7</xdr:col>
      <xdr:colOff>2700707</xdr:colOff>
      <xdr:row>13</xdr:row>
      <xdr:rowOff>161678</xdr:rowOff>
    </xdr:to>
    <xdr:sp macro="" textlink="">
      <xdr:nvSpPr>
        <xdr:cNvPr id="50" name="Shape 82">
          <a:extLst>
            <a:ext uri="{FF2B5EF4-FFF2-40B4-BE49-F238E27FC236}">
              <a16:creationId xmlns:a16="http://schemas.microsoft.com/office/drawing/2014/main" id="{4CA5D599-8EB5-46AF-AC3E-E58FE015DAE3}"/>
            </a:ext>
          </a:extLst>
        </xdr:cNvPr>
        <xdr:cNvSpPr txBox="1"/>
      </xdr:nvSpPr>
      <xdr:spPr>
        <a:xfrm>
          <a:off x="6608666" y="2413000"/>
          <a:ext cx="561975"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595959"/>
              </a:solidFill>
              <a:latin typeface="Calibri"/>
              <a:ea typeface="Calibri"/>
              <a:cs typeface="Calibri"/>
              <a:sym typeface="Calibri"/>
            </a:rPr>
            <a:t>Status</a:t>
          </a:r>
          <a:endParaRPr sz="1400"/>
        </a:p>
      </xdr:txBody>
    </xdr:sp>
    <xdr:clientData fLocksWithSheet="0"/>
  </xdr:twoCellAnchor>
  <xdr:twoCellAnchor editAs="absolute">
    <xdr:from>
      <xdr:col>7</xdr:col>
      <xdr:colOff>3065955</xdr:colOff>
      <xdr:row>12</xdr:row>
      <xdr:rowOff>107843</xdr:rowOff>
    </xdr:from>
    <xdr:to>
      <xdr:col>7</xdr:col>
      <xdr:colOff>3680956</xdr:colOff>
      <xdr:row>16</xdr:row>
      <xdr:rowOff>7110</xdr:rowOff>
    </xdr:to>
    <xdr:sp macro="" textlink="">
      <xdr:nvSpPr>
        <xdr:cNvPr id="51" name="Shape 84">
          <a:extLst>
            <a:ext uri="{FF2B5EF4-FFF2-40B4-BE49-F238E27FC236}">
              <a16:creationId xmlns:a16="http://schemas.microsoft.com/office/drawing/2014/main" id="{5C6E84FE-6AFC-4764-94F2-46C7F6E6FBE8}"/>
            </a:ext>
          </a:extLst>
        </xdr:cNvPr>
        <xdr:cNvSpPr/>
      </xdr:nvSpPr>
      <xdr:spPr>
        <a:xfrm>
          <a:off x="7541371" y="2466415"/>
          <a:ext cx="619125" cy="638175"/>
        </a:xfrm>
        <a:prstGeom prst="ellipse">
          <a:avLst/>
        </a:prstGeom>
        <a:solidFill>
          <a:srgbClr val="141420"/>
        </a:solidFill>
        <a:ln w="15875" cap="flat" cmpd="sng">
          <a:solidFill>
            <a:srgbClr val="8296B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twoCellAnchor>
  <xdr:twoCellAnchor editAs="absolute">
    <xdr:from>
      <xdr:col>7</xdr:col>
      <xdr:colOff>3968645</xdr:colOff>
      <xdr:row>14</xdr:row>
      <xdr:rowOff>91785</xdr:rowOff>
    </xdr:from>
    <xdr:to>
      <xdr:col>9</xdr:col>
      <xdr:colOff>107310</xdr:colOff>
      <xdr:row>16</xdr:row>
      <xdr:rowOff>46181</xdr:rowOff>
    </xdr:to>
    <xdr:sp macro="" textlink="">
      <xdr:nvSpPr>
        <xdr:cNvPr id="52" name="Shape 87">
          <a:extLst>
            <a:ext uri="{FF2B5EF4-FFF2-40B4-BE49-F238E27FC236}">
              <a16:creationId xmlns:a16="http://schemas.microsoft.com/office/drawing/2014/main" id="{B8B80EAB-B0D4-4057-8703-BD8C4B722A2E}"/>
            </a:ext>
          </a:extLst>
        </xdr:cNvPr>
        <xdr:cNvSpPr txBox="1"/>
      </xdr:nvSpPr>
      <xdr:spPr>
        <a:xfrm>
          <a:off x="8448864" y="2823885"/>
          <a:ext cx="809625"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Divorced</a:t>
          </a:r>
          <a:endParaRPr sz="1400"/>
        </a:p>
      </xdr:txBody>
    </xdr:sp>
    <xdr:clientData fLocksWithSheet="0"/>
  </xdr:twoCellAnchor>
  <xdr:twoCellAnchor editAs="absolute">
    <xdr:from>
      <xdr:col>9</xdr:col>
      <xdr:colOff>101649</xdr:colOff>
      <xdr:row>12</xdr:row>
      <xdr:rowOff>63953</xdr:rowOff>
    </xdr:from>
    <xdr:to>
      <xdr:col>10</xdr:col>
      <xdr:colOff>208650</xdr:colOff>
      <xdr:row>13</xdr:row>
      <xdr:rowOff>133103</xdr:rowOff>
    </xdr:to>
    <xdr:sp macro="" textlink="">
      <xdr:nvSpPr>
        <xdr:cNvPr id="53" name="Shape 88">
          <a:extLst>
            <a:ext uri="{FF2B5EF4-FFF2-40B4-BE49-F238E27FC236}">
              <a16:creationId xmlns:a16="http://schemas.microsoft.com/office/drawing/2014/main" id="{B9254F1F-1159-4EB2-8AAE-D825C1BEB7A6}"/>
            </a:ext>
          </a:extLst>
        </xdr:cNvPr>
        <xdr:cNvSpPr txBox="1"/>
      </xdr:nvSpPr>
      <xdr:spPr>
        <a:xfrm>
          <a:off x="9254187" y="2422525"/>
          <a:ext cx="619125" cy="2571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7F7F7F"/>
              </a:solidFill>
              <a:latin typeface="Calibri"/>
              <a:ea typeface="Calibri"/>
              <a:cs typeface="Calibri"/>
              <a:sym typeface="Calibri"/>
            </a:rPr>
            <a:t>Status</a:t>
          </a:r>
          <a:endParaRPr sz="1400"/>
        </a:p>
      </xdr:txBody>
    </xdr:sp>
    <xdr:clientData fLocksWithSheet="0"/>
  </xdr:twoCellAnchor>
  <xdr:twoCellAnchor editAs="absolute">
    <xdr:from>
      <xdr:col>13</xdr:col>
      <xdr:colOff>161851</xdr:colOff>
      <xdr:row>12</xdr:row>
      <xdr:rowOff>88792</xdr:rowOff>
    </xdr:from>
    <xdr:to>
      <xdr:col>14</xdr:col>
      <xdr:colOff>383285</xdr:colOff>
      <xdr:row>13</xdr:row>
      <xdr:rowOff>150284</xdr:rowOff>
    </xdr:to>
    <xdr:sp macro="" textlink="">
      <xdr:nvSpPr>
        <xdr:cNvPr id="54" name="Shape 90">
          <a:extLst>
            <a:ext uri="{FF2B5EF4-FFF2-40B4-BE49-F238E27FC236}">
              <a16:creationId xmlns:a16="http://schemas.microsoft.com/office/drawing/2014/main" id="{EE107166-9D10-4967-852B-1B8010F5B0F4}"/>
            </a:ext>
          </a:extLst>
        </xdr:cNvPr>
        <xdr:cNvSpPr txBox="1"/>
      </xdr:nvSpPr>
      <xdr:spPr>
        <a:xfrm>
          <a:off x="11664955" y="2447364"/>
          <a:ext cx="833344" cy="249517"/>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7F7F7F"/>
              </a:solidFill>
              <a:latin typeface="Calibri"/>
              <a:ea typeface="Calibri"/>
              <a:cs typeface="Calibri"/>
              <a:sym typeface="Calibri"/>
            </a:rPr>
            <a:t>#Locations</a:t>
          </a:r>
          <a:endParaRPr sz="1400"/>
        </a:p>
      </xdr:txBody>
    </xdr:sp>
    <xdr:clientData fLocksWithSheet="0"/>
  </xdr:twoCellAnchor>
  <xdr:twoCellAnchor editAs="absolute">
    <xdr:from>
      <xdr:col>12</xdr:col>
      <xdr:colOff>219368</xdr:colOff>
      <xdr:row>14</xdr:row>
      <xdr:rowOff>104673</xdr:rowOff>
    </xdr:from>
    <xdr:to>
      <xdr:col>13</xdr:col>
      <xdr:colOff>417084</xdr:colOff>
      <xdr:row>16</xdr:row>
      <xdr:rowOff>59069</xdr:rowOff>
    </xdr:to>
    <xdr:sp macro="" textlink="">
      <xdr:nvSpPr>
        <xdr:cNvPr id="55" name="Shape 91">
          <a:extLst>
            <a:ext uri="{FF2B5EF4-FFF2-40B4-BE49-F238E27FC236}">
              <a16:creationId xmlns:a16="http://schemas.microsoft.com/office/drawing/2014/main" id="{3F14BDA0-8F19-4339-9D50-8F362867723A}"/>
            </a:ext>
          </a:extLst>
        </xdr:cNvPr>
        <xdr:cNvSpPr txBox="1"/>
      </xdr:nvSpPr>
      <xdr:spPr>
        <a:xfrm>
          <a:off x="11109884" y="2836773"/>
          <a:ext cx="809625"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Locations</a:t>
          </a:r>
          <a:endParaRPr sz="1400"/>
        </a:p>
      </xdr:txBody>
    </xdr:sp>
    <xdr:clientData fLocksWithSheet="0"/>
  </xdr:twoCellAnchor>
  <xdr:twoCellAnchor editAs="absolute">
    <xdr:from>
      <xdr:col>3</xdr:col>
      <xdr:colOff>592417</xdr:colOff>
      <xdr:row>13</xdr:row>
      <xdr:rowOff>112034</xdr:rowOff>
    </xdr:from>
    <xdr:to>
      <xdr:col>4</xdr:col>
      <xdr:colOff>228158</xdr:colOff>
      <xdr:row>14</xdr:row>
      <xdr:rowOff>174956</xdr:rowOff>
    </xdr:to>
    <xdr:pic>
      <xdr:nvPicPr>
        <xdr:cNvPr id="56" name="image5.png">
          <a:extLst>
            <a:ext uri="{FF2B5EF4-FFF2-40B4-BE49-F238E27FC236}">
              <a16:creationId xmlns:a16="http://schemas.microsoft.com/office/drawing/2014/main" id="{F8CC7F98-15D0-4CC6-8627-0ED446425A51}"/>
            </a:ext>
          </a:extLst>
        </xdr:cNvPr>
        <xdr:cNvPicPr preferRelativeResize="0"/>
      </xdr:nvPicPr>
      <xdr:blipFill>
        <a:blip xmlns:r="http://schemas.openxmlformats.org/officeDocument/2006/relationships" r:embed="rId3" cstate="print"/>
        <a:stretch>
          <a:fillRect/>
        </a:stretch>
      </xdr:blipFill>
      <xdr:spPr>
        <a:xfrm>
          <a:off x="2430182" y="2662705"/>
          <a:ext cx="247650" cy="247650"/>
        </a:xfrm>
        <a:prstGeom prst="rect">
          <a:avLst/>
        </a:prstGeom>
        <a:noFill/>
      </xdr:spPr>
    </xdr:pic>
    <xdr:clientData fLocksWithSheet="0"/>
  </xdr:twoCellAnchor>
  <xdr:twoCellAnchor editAs="absolute">
    <xdr:from>
      <xdr:col>7</xdr:col>
      <xdr:colOff>570565</xdr:colOff>
      <xdr:row>13</xdr:row>
      <xdr:rowOff>131084</xdr:rowOff>
    </xdr:from>
    <xdr:to>
      <xdr:col>7</xdr:col>
      <xdr:colOff>808690</xdr:colOff>
      <xdr:row>15</xdr:row>
      <xdr:rowOff>12577</xdr:rowOff>
    </xdr:to>
    <xdr:pic>
      <xdr:nvPicPr>
        <xdr:cNvPr id="57" name="image5.png">
          <a:extLst>
            <a:ext uri="{FF2B5EF4-FFF2-40B4-BE49-F238E27FC236}">
              <a16:creationId xmlns:a16="http://schemas.microsoft.com/office/drawing/2014/main" id="{A70E9F61-AE04-41F3-BED2-E370908281D7}"/>
            </a:ext>
          </a:extLst>
        </xdr:cNvPr>
        <xdr:cNvPicPr preferRelativeResize="0"/>
      </xdr:nvPicPr>
      <xdr:blipFill>
        <a:blip xmlns:r="http://schemas.openxmlformats.org/officeDocument/2006/relationships" r:embed="rId3" cstate="print"/>
        <a:stretch>
          <a:fillRect/>
        </a:stretch>
      </xdr:blipFill>
      <xdr:spPr>
        <a:xfrm>
          <a:off x="5026771" y="2681755"/>
          <a:ext cx="238125" cy="247650"/>
        </a:xfrm>
        <a:prstGeom prst="rect">
          <a:avLst/>
        </a:prstGeom>
        <a:noFill/>
      </xdr:spPr>
    </xdr:pic>
    <xdr:clientData fLocksWithSheet="0"/>
  </xdr:twoCellAnchor>
  <xdr:twoCellAnchor editAs="absolute">
    <xdr:from>
      <xdr:col>10</xdr:col>
      <xdr:colOff>546392</xdr:colOff>
      <xdr:row>13</xdr:row>
      <xdr:rowOff>17638</xdr:rowOff>
    </xdr:from>
    <xdr:to>
      <xdr:col>12</xdr:col>
      <xdr:colOff>98222</xdr:colOff>
      <xdr:row>16</xdr:row>
      <xdr:rowOff>6381</xdr:rowOff>
    </xdr:to>
    <xdr:pic>
      <xdr:nvPicPr>
        <xdr:cNvPr id="58" name="image6.png" title="Image">
          <a:extLst>
            <a:ext uri="{FF2B5EF4-FFF2-40B4-BE49-F238E27FC236}">
              <a16:creationId xmlns:a16="http://schemas.microsoft.com/office/drawing/2014/main" id="{123FB744-9A48-46CC-B477-DF65E5A37460}"/>
            </a:ext>
          </a:extLst>
        </xdr:cNvPr>
        <xdr:cNvPicPr preferRelativeResize="0"/>
      </xdr:nvPicPr>
      <xdr:blipFill>
        <a:blip xmlns:r="http://schemas.openxmlformats.org/officeDocument/2006/relationships" r:embed="rId7" cstate="print"/>
        <a:stretch>
          <a:fillRect/>
        </a:stretch>
      </xdr:blipFill>
      <xdr:spPr>
        <a:xfrm>
          <a:off x="10211733" y="2562974"/>
          <a:ext cx="771525" cy="542925"/>
        </a:xfrm>
        <a:prstGeom prst="rect">
          <a:avLst/>
        </a:prstGeom>
        <a:noFill/>
      </xdr:spPr>
    </xdr:pic>
    <xdr:clientData fLocksWithSheet="0"/>
  </xdr:twoCellAnchor>
  <xdr:twoCellAnchor editAs="absolute">
    <xdr:from>
      <xdr:col>7</xdr:col>
      <xdr:colOff>827740</xdr:colOff>
      <xdr:row>13</xdr:row>
      <xdr:rowOff>134259</xdr:rowOff>
    </xdr:from>
    <xdr:to>
      <xdr:col>7</xdr:col>
      <xdr:colOff>1056340</xdr:colOff>
      <xdr:row>14</xdr:row>
      <xdr:rowOff>178131</xdr:rowOff>
    </xdr:to>
    <xdr:pic>
      <xdr:nvPicPr>
        <xdr:cNvPr id="59" name="image3.png">
          <a:extLst>
            <a:ext uri="{FF2B5EF4-FFF2-40B4-BE49-F238E27FC236}">
              <a16:creationId xmlns:a16="http://schemas.microsoft.com/office/drawing/2014/main" id="{F54A1344-A24F-435D-8C9F-DC6626170D1A}"/>
            </a:ext>
          </a:extLst>
        </xdr:cNvPr>
        <xdr:cNvPicPr preferRelativeResize="0"/>
      </xdr:nvPicPr>
      <xdr:blipFill>
        <a:blip xmlns:r="http://schemas.openxmlformats.org/officeDocument/2006/relationships" r:embed="rId4" cstate="print"/>
        <a:stretch>
          <a:fillRect/>
        </a:stretch>
      </xdr:blipFill>
      <xdr:spPr>
        <a:xfrm>
          <a:off x="5283946" y="2684930"/>
          <a:ext cx="228600" cy="228600"/>
        </a:xfrm>
        <a:prstGeom prst="rect">
          <a:avLst/>
        </a:prstGeom>
        <a:noFill/>
      </xdr:spPr>
    </xdr:pic>
    <xdr:clientData fLocksWithSheet="0"/>
  </xdr:twoCellAnchor>
  <xdr:twoCellAnchor editAs="absolute">
    <xdr:from>
      <xdr:col>7</xdr:col>
      <xdr:colOff>2824225</xdr:colOff>
      <xdr:row>13</xdr:row>
      <xdr:rowOff>100372</xdr:rowOff>
    </xdr:from>
    <xdr:to>
      <xdr:col>7</xdr:col>
      <xdr:colOff>3983090</xdr:colOff>
      <xdr:row>17</xdr:row>
      <xdr:rowOff>54340</xdr:rowOff>
    </xdr:to>
    <xdr:grpSp>
      <xdr:nvGrpSpPr>
        <xdr:cNvPr id="60" name="Group 59">
          <a:extLst>
            <a:ext uri="{FF2B5EF4-FFF2-40B4-BE49-F238E27FC236}">
              <a16:creationId xmlns:a16="http://schemas.microsoft.com/office/drawing/2014/main" id="{A9FF0F07-9509-488B-B558-3F01CA4B4D0F}"/>
            </a:ext>
          </a:extLst>
        </xdr:cNvPr>
        <xdr:cNvGrpSpPr/>
      </xdr:nvGrpSpPr>
      <xdr:grpSpPr>
        <a:xfrm>
          <a:off x="7242011" y="2585943"/>
          <a:ext cx="1158865" cy="679683"/>
          <a:chOff x="7244159" y="2287868"/>
          <a:chExt cx="1168470" cy="701028"/>
        </a:xfrm>
      </xdr:grpSpPr>
      <xdr:grpSp>
        <xdr:nvGrpSpPr>
          <xdr:cNvPr id="61" name="Shape 2">
            <a:extLst>
              <a:ext uri="{FF2B5EF4-FFF2-40B4-BE49-F238E27FC236}">
                <a16:creationId xmlns:a16="http://schemas.microsoft.com/office/drawing/2014/main" id="{5AFFE2F2-C677-2309-2933-4F42941ED4A8}"/>
              </a:ext>
            </a:extLst>
          </xdr:cNvPr>
          <xdr:cNvGrpSpPr/>
        </xdr:nvGrpSpPr>
        <xdr:grpSpPr>
          <a:xfrm rot="2279353">
            <a:off x="7730004" y="2332318"/>
            <a:ext cx="682625" cy="600075"/>
            <a:chOff x="5346000" y="3465675"/>
            <a:chExt cx="0" cy="628650"/>
          </a:xfrm>
        </xdr:grpSpPr>
        <xdr:cxnSp macro="">
          <xdr:nvCxnSpPr>
            <xdr:cNvPr id="66" name="Shape 85">
              <a:extLst>
                <a:ext uri="{FF2B5EF4-FFF2-40B4-BE49-F238E27FC236}">
                  <a16:creationId xmlns:a16="http://schemas.microsoft.com/office/drawing/2014/main" id="{B5DFC9C3-6F9A-1475-EC6B-58D93DCB4541}"/>
                </a:ext>
              </a:extLst>
            </xdr:cNvPr>
            <xdr:cNvCxnSpPr/>
          </xdr:nvCxnSpPr>
          <xdr:spPr>
            <a:xfrm>
              <a:off x="5346000" y="3465675"/>
              <a:ext cx="0" cy="628650"/>
            </a:xfrm>
            <a:prstGeom prst="straightConnector1">
              <a:avLst/>
            </a:prstGeom>
            <a:noFill/>
            <a:ln w="31750" cap="flat" cmpd="sng">
              <a:solidFill>
                <a:srgbClr val="C00000"/>
              </a:solidFill>
              <a:prstDash val="solid"/>
              <a:miter lim="800000"/>
              <a:headEnd type="none" w="sm" len="sm"/>
              <a:tailEnd type="none" w="sm" len="sm"/>
            </a:ln>
          </xdr:spPr>
        </xdr:cxnSp>
      </xdr:grpSp>
      <xdr:pic>
        <xdr:nvPicPr>
          <xdr:cNvPr id="62" name="image5.png">
            <a:extLst>
              <a:ext uri="{FF2B5EF4-FFF2-40B4-BE49-F238E27FC236}">
                <a16:creationId xmlns:a16="http://schemas.microsoft.com/office/drawing/2014/main" id="{0637B4B7-C967-6002-74AC-925B6309796B}"/>
              </a:ext>
            </a:extLst>
          </xdr:cNvPr>
          <xdr:cNvPicPr preferRelativeResize="0"/>
        </xdr:nvPicPr>
        <xdr:blipFill>
          <a:blip xmlns:r="http://schemas.openxmlformats.org/officeDocument/2006/relationships" r:embed="rId3" cstate="print"/>
          <a:stretch>
            <a:fillRect/>
          </a:stretch>
        </xdr:blipFill>
        <xdr:spPr>
          <a:xfrm>
            <a:off x="7558554" y="2294218"/>
            <a:ext cx="247650" cy="247650"/>
          </a:xfrm>
          <a:prstGeom prst="rect">
            <a:avLst/>
          </a:prstGeom>
          <a:noFill/>
        </xdr:spPr>
      </xdr:pic>
      <xdr:pic>
        <xdr:nvPicPr>
          <xdr:cNvPr id="63" name="image3.png">
            <a:extLst>
              <a:ext uri="{FF2B5EF4-FFF2-40B4-BE49-F238E27FC236}">
                <a16:creationId xmlns:a16="http://schemas.microsoft.com/office/drawing/2014/main" id="{1E4D9771-D2AD-58A0-3793-21F69AA6FB17}"/>
              </a:ext>
            </a:extLst>
          </xdr:cNvPr>
          <xdr:cNvPicPr preferRelativeResize="0"/>
        </xdr:nvPicPr>
        <xdr:blipFill>
          <a:blip xmlns:r="http://schemas.openxmlformats.org/officeDocument/2006/relationships" r:embed="rId4" cstate="print"/>
          <a:stretch>
            <a:fillRect/>
          </a:stretch>
        </xdr:blipFill>
        <xdr:spPr>
          <a:xfrm>
            <a:off x="7811621" y="2287868"/>
            <a:ext cx="247650" cy="241300"/>
          </a:xfrm>
          <a:prstGeom prst="rect">
            <a:avLst/>
          </a:prstGeom>
          <a:noFill/>
        </xdr:spPr>
      </xdr:pic>
      <xdr:grpSp>
        <xdr:nvGrpSpPr>
          <xdr:cNvPr id="64" name="Shape 2">
            <a:extLst>
              <a:ext uri="{FF2B5EF4-FFF2-40B4-BE49-F238E27FC236}">
                <a16:creationId xmlns:a16="http://schemas.microsoft.com/office/drawing/2014/main" id="{5D78144D-6B7C-02D8-9028-BDC2D474D836}"/>
              </a:ext>
            </a:extLst>
          </xdr:cNvPr>
          <xdr:cNvGrpSpPr/>
        </xdr:nvGrpSpPr>
        <xdr:grpSpPr>
          <a:xfrm rot="8081832">
            <a:off x="7227360" y="2323070"/>
            <a:ext cx="682625" cy="649027"/>
            <a:chOff x="5346000" y="3465675"/>
            <a:chExt cx="0" cy="628650"/>
          </a:xfrm>
        </xdr:grpSpPr>
        <xdr:cxnSp macro="">
          <xdr:nvCxnSpPr>
            <xdr:cNvPr id="65" name="Shape 85">
              <a:extLst>
                <a:ext uri="{FF2B5EF4-FFF2-40B4-BE49-F238E27FC236}">
                  <a16:creationId xmlns:a16="http://schemas.microsoft.com/office/drawing/2014/main" id="{801BAE66-109B-7940-2097-55A8CFE6BA7F}"/>
                </a:ext>
              </a:extLst>
            </xdr:cNvPr>
            <xdr:cNvCxnSpPr/>
          </xdr:nvCxnSpPr>
          <xdr:spPr>
            <a:xfrm>
              <a:off x="5346000" y="3465675"/>
              <a:ext cx="0" cy="628650"/>
            </a:xfrm>
            <a:prstGeom prst="straightConnector1">
              <a:avLst/>
            </a:prstGeom>
            <a:noFill/>
            <a:ln w="31750" cap="flat" cmpd="sng">
              <a:solidFill>
                <a:srgbClr val="C00000"/>
              </a:solidFill>
              <a:prstDash val="solid"/>
              <a:miter lim="800000"/>
              <a:headEnd type="none" w="sm" len="sm"/>
              <a:tailEnd type="none" w="sm" len="sm"/>
            </a:ln>
          </xdr:spPr>
        </xdr:cxnSp>
      </xdr:grpSp>
    </xdr:grpSp>
    <xdr:clientData/>
  </xdr:twoCellAnchor>
  <xdr:twoCellAnchor editAs="absolute">
    <xdr:from>
      <xdr:col>4</xdr:col>
      <xdr:colOff>577474</xdr:colOff>
      <xdr:row>13</xdr:row>
      <xdr:rowOff>13716</xdr:rowOff>
    </xdr:from>
    <xdr:to>
      <xdr:col>6</xdr:col>
      <xdr:colOff>210534</xdr:colOff>
      <xdr:row>14</xdr:row>
      <xdr:rowOff>149539</xdr:rowOff>
    </xdr:to>
    <xdr:sp macro="" textlink="'Analysis 1'!P6">
      <xdr:nvSpPr>
        <xdr:cNvPr id="67" name="Shape 77">
          <a:extLst>
            <a:ext uri="{FF2B5EF4-FFF2-40B4-BE49-F238E27FC236}">
              <a16:creationId xmlns:a16="http://schemas.microsoft.com/office/drawing/2014/main" id="{D922FB38-C485-6C08-C5B7-34D8C2BE09D6}"/>
            </a:ext>
          </a:extLst>
        </xdr:cNvPr>
        <xdr:cNvSpPr txBox="1"/>
      </xdr:nvSpPr>
      <xdr:spPr>
        <a:xfrm>
          <a:off x="3027827" y="2559052"/>
          <a:ext cx="856879"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BD226CBF-663B-4B6B-9C6B-F5443FAD299E}"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51</a:t>
          </a:fld>
          <a:endParaRPr sz="2100">
            <a:solidFill>
              <a:schemeClr val="bg1">
                <a:lumMod val="85000"/>
              </a:schemeClr>
            </a:solidFill>
          </a:endParaRPr>
        </a:p>
      </xdr:txBody>
    </xdr:sp>
    <xdr:clientData fLocksWithSheet="0"/>
  </xdr:twoCellAnchor>
  <xdr:twoCellAnchor editAs="absolute">
    <xdr:from>
      <xdr:col>7</xdr:col>
      <xdr:colOff>1286859</xdr:colOff>
      <xdr:row>13</xdr:row>
      <xdr:rowOff>29030</xdr:rowOff>
    </xdr:from>
    <xdr:to>
      <xdr:col>7</xdr:col>
      <xdr:colOff>2168749</xdr:colOff>
      <xdr:row>14</xdr:row>
      <xdr:rowOff>145803</xdr:rowOff>
    </xdr:to>
    <xdr:sp macro="" textlink="'Analysis 1'!P5">
      <xdr:nvSpPr>
        <xdr:cNvPr id="68" name="Shape 81">
          <a:extLst>
            <a:ext uri="{FF2B5EF4-FFF2-40B4-BE49-F238E27FC236}">
              <a16:creationId xmlns:a16="http://schemas.microsoft.com/office/drawing/2014/main" id="{4A6E110C-127F-DD5A-FCA0-67E9A17003A4}"/>
            </a:ext>
          </a:extLst>
        </xdr:cNvPr>
        <xdr:cNvSpPr txBox="1"/>
      </xdr:nvSpPr>
      <xdr:spPr>
        <a:xfrm>
          <a:off x="5747868" y="2574366"/>
          <a:ext cx="886013"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929CC6E-C3C5-45CC-AE48-A9413BF15042}"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99</a:t>
          </a:fld>
          <a:endParaRPr sz="21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7</xdr:col>
      <xdr:colOff>3968642</xdr:colOff>
      <xdr:row>13</xdr:row>
      <xdr:rowOff>9608</xdr:rowOff>
    </xdr:from>
    <xdr:to>
      <xdr:col>9</xdr:col>
      <xdr:colOff>164645</xdr:colOff>
      <xdr:row>14</xdr:row>
      <xdr:rowOff>145431</xdr:rowOff>
    </xdr:to>
    <xdr:sp macro="" textlink="'Analysis 1'!P4">
      <xdr:nvSpPr>
        <xdr:cNvPr id="69" name="Shape 87">
          <a:extLst>
            <a:ext uri="{FF2B5EF4-FFF2-40B4-BE49-F238E27FC236}">
              <a16:creationId xmlns:a16="http://schemas.microsoft.com/office/drawing/2014/main" id="{16F5A294-3272-C430-60B2-7F35C95CF77B}"/>
            </a:ext>
          </a:extLst>
        </xdr:cNvPr>
        <xdr:cNvSpPr txBox="1"/>
      </xdr:nvSpPr>
      <xdr:spPr>
        <a:xfrm>
          <a:off x="8448861" y="2554944"/>
          <a:ext cx="866963"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BA47FB04-8C34-4D50-944F-CBAD8E38858A}"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1</a:t>
          </a:fld>
          <a:endParaRPr sz="21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12</xdr:col>
      <xdr:colOff>165582</xdr:colOff>
      <xdr:row>13</xdr:row>
      <xdr:rowOff>32020</xdr:rowOff>
    </xdr:from>
    <xdr:to>
      <xdr:col>13</xdr:col>
      <xdr:colOff>420636</xdr:colOff>
      <xdr:row>14</xdr:row>
      <xdr:rowOff>167843</xdr:rowOff>
    </xdr:to>
    <xdr:sp macro="" textlink="'Analysis 1'!S6">
      <xdr:nvSpPr>
        <xdr:cNvPr id="70" name="Shape 87">
          <a:extLst>
            <a:ext uri="{FF2B5EF4-FFF2-40B4-BE49-F238E27FC236}">
              <a16:creationId xmlns:a16="http://schemas.microsoft.com/office/drawing/2014/main" id="{03A76A5C-53F6-3FDE-F15C-283D66C17CB4}"/>
            </a:ext>
          </a:extLst>
        </xdr:cNvPr>
        <xdr:cNvSpPr txBox="1"/>
      </xdr:nvSpPr>
      <xdr:spPr>
        <a:xfrm>
          <a:off x="11056098" y="2577356"/>
          <a:ext cx="866963"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037B8382-6AE1-40F9-A894-325A5D1B74D0}"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14</a:t>
          </a:fld>
          <a:endParaRPr sz="21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3</xdr:col>
      <xdr:colOff>497914</xdr:colOff>
      <xdr:row>19</xdr:row>
      <xdr:rowOff>111140</xdr:rowOff>
    </xdr:from>
    <xdr:to>
      <xdr:col>6</xdr:col>
      <xdr:colOff>658908</xdr:colOff>
      <xdr:row>19</xdr:row>
      <xdr:rowOff>169725</xdr:rowOff>
    </xdr:to>
    <xdr:grpSp>
      <xdr:nvGrpSpPr>
        <xdr:cNvPr id="83" name="Group 82">
          <a:extLst>
            <a:ext uri="{FF2B5EF4-FFF2-40B4-BE49-F238E27FC236}">
              <a16:creationId xmlns:a16="http://schemas.microsoft.com/office/drawing/2014/main" id="{221C9669-C0BB-4FE4-3075-712CE413CF11}"/>
            </a:ext>
          </a:extLst>
        </xdr:cNvPr>
        <xdr:cNvGrpSpPr/>
      </xdr:nvGrpSpPr>
      <xdr:grpSpPr>
        <a:xfrm>
          <a:off x="2321271" y="3685283"/>
          <a:ext cx="1984351" cy="58585"/>
          <a:chOff x="2396564" y="3663512"/>
          <a:chExt cx="1991608" cy="61306"/>
        </a:xfrm>
      </xdr:grpSpPr>
      <xdr:cxnSp macro="">
        <xdr:nvCxnSpPr>
          <xdr:cNvPr id="72" name="Straight Connector 71">
            <a:extLst>
              <a:ext uri="{FF2B5EF4-FFF2-40B4-BE49-F238E27FC236}">
                <a16:creationId xmlns:a16="http://schemas.microsoft.com/office/drawing/2014/main" id="{142249AD-B579-9FA6-0432-3EEF685BBB7B}"/>
              </a:ext>
            </a:extLst>
          </xdr:cNvPr>
          <xdr:cNvCxnSpPr/>
        </xdr:nvCxnSpPr>
        <xdr:spPr>
          <a:xfrm>
            <a:off x="2396564" y="3691591"/>
            <a:ext cx="1077260" cy="0"/>
          </a:xfrm>
          <a:prstGeom prst="line">
            <a:avLst/>
          </a:prstGeom>
          <a:ln w="28575">
            <a:gradFill flip="none" rotWithShape="1">
              <a:gsLst>
                <a:gs pos="19000">
                  <a:srgbClr val="141420">
                    <a:alpha val="60000"/>
                  </a:srgbClr>
                </a:gs>
                <a:gs pos="100000">
                  <a:schemeClr val="accent1">
                    <a:lumMod val="30000"/>
                    <a:lumOff val="70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7663D855-C7FF-AA2C-BD1C-8AE9E6323AB9}"/>
              </a:ext>
            </a:extLst>
          </xdr:cNvPr>
          <xdr:cNvCxnSpPr/>
        </xdr:nvCxnSpPr>
        <xdr:spPr>
          <a:xfrm>
            <a:off x="2466117" y="3688398"/>
            <a:ext cx="1922055" cy="0"/>
          </a:xfrm>
          <a:prstGeom prst="line">
            <a:avLst/>
          </a:prstGeom>
          <a:ln w="15875">
            <a:gradFill flip="none" rotWithShape="1">
              <a:gsLst>
                <a:gs pos="19000">
                  <a:srgbClr val="141420">
                    <a:alpha val="18000"/>
                  </a:srgbClr>
                </a:gs>
                <a:gs pos="100000">
                  <a:schemeClr val="accent1">
                    <a:lumMod val="30000"/>
                    <a:lumOff val="70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sp macro="" textlink="">
        <xdr:nvSpPr>
          <xdr:cNvPr id="76" name="Oval 75">
            <a:extLst>
              <a:ext uri="{FF2B5EF4-FFF2-40B4-BE49-F238E27FC236}">
                <a16:creationId xmlns:a16="http://schemas.microsoft.com/office/drawing/2014/main" id="{C9686763-782D-3356-6AF1-1BBD85C3913A}"/>
              </a:ext>
            </a:extLst>
          </xdr:cNvPr>
          <xdr:cNvSpPr/>
        </xdr:nvSpPr>
        <xdr:spPr>
          <a:xfrm>
            <a:off x="3442138" y="3663512"/>
            <a:ext cx="61306" cy="61306"/>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7</xdr:col>
      <xdr:colOff>704978</xdr:colOff>
      <xdr:row>19</xdr:row>
      <xdr:rowOff>150822</xdr:rowOff>
    </xdr:from>
    <xdr:to>
      <xdr:col>7</xdr:col>
      <xdr:colOff>2621589</xdr:colOff>
      <xdr:row>19</xdr:row>
      <xdr:rowOff>150822</xdr:rowOff>
    </xdr:to>
    <xdr:cxnSp macro="">
      <xdr:nvCxnSpPr>
        <xdr:cNvPr id="77" name="Straight Connector 76">
          <a:extLst>
            <a:ext uri="{FF2B5EF4-FFF2-40B4-BE49-F238E27FC236}">
              <a16:creationId xmlns:a16="http://schemas.microsoft.com/office/drawing/2014/main" id="{A87560D2-BE8A-A0ED-1482-047B9E07F965}"/>
            </a:ext>
          </a:extLst>
        </xdr:cNvPr>
        <xdr:cNvCxnSpPr/>
      </xdr:nvCxnSpPr>
      <xdr:spPr>
        <a:xfrm flipH="1">
          <a:off x="5137278" y="3775765"/>
          <a:ext cx="1922054" cy="0"/>
        </a:xfrm>
        <a:prstGeom prst="line">
          <a:avLst/>
        </a:prstGeom>
        <a:ln w="15875">
          <a:gradFill flip="none" rotWithShape="1">
            <a:gsLst>
              <a:gs pos="19000">
                <a:srgbClr val="141420">
                  <a:alpha val="71000"/>
                </a:srgbClr>
              </a:gs>
              <a:gs pos="100000">
                <a:schemeClr val="accent1">
                  <a:lumMod val="30000"/>
                  <a:lumOff val="70000"/>
                </a:schemeClr>
              </a:gs>
            </a:gsLst>
            <a:lin ang="0" scaled="1"/>
            <a:tileRect/>
          </a:gra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3157657</xdr:colOff>
      <xdr:row>19</xdr:row>
      <xdr:rowOff>121119</xdr:rowOff>
    </xdr:from>
    <xdr:to>
      <xdr:col>9</xdr:col>
      <xdr:colOff>481108</xdr:colOff>
      <xdr:row>20</xdr:row>
      <xdr:rowOff>997</xdr:rowOff>
    </xdr:to>
    <xdr:grpSp>
      <xdr:nvGrpSpPr>
        <xdr:cNvPr id="84" name="Group 83">
          <a:extLst>
            <a:ext uri="{FF2B5EF4-FFF2-40B4-BE49-F238E27FC236}">
              <a16:creationId xmlns:a16="http://schemas.microsoft.com/office/drawing/2014/main" id="{0DD615BD-E7C4-A081-5B31-87C8D6FE6A79}"/>
            </a:ext>
          </a:extLst>
        </xdr:cNvPr>
        <xdr:cNvGrpSpPr/>
      </xdr:nvGrpSpPr>
      <xdr:grpSpPr>
        <a:xfrm>
          <a:off x="7575443" y="3695262"/>
          <a:ext cx="1986165" cy="61306"/>
          <a:chOff x="2396564" y="3663512"/>
          <a:chExt cx="1991608" cy="61306"/>
        </a:xfrm>
      </xdr:grpSpPr>
      <xdr:cxnSp macro="">
        <xdr:nvCxnSpPr>
          <xdr:cNvPr id="85" name="Straight Connector 84">
            <a:extLst>
              <a:ext uri="{FF2B5EF4-FFF2-40B4-BE49-F238E27FC236}">
                <a16:creationId xmlns:a16="http://schemas.microsoft.com/office/drawing/2014/main" id="{0AC8C185-5952-DF4B-C71B-A5C089B180A3}"/>
              </a:ext>
            </a:extLst>
          </xdr:cNvPr>
          <xdr:cNvCxnSpPr/>
        </xdr:nvCxnSpPr>
        <xdr:spPr>
          <a:xfrm>
            <a:off x="2396564" y="3691591"/>
            <a:ext cx="1077260" cy="0"/>
          </a:xfrm>
          <a:prstGeom prst="line">
            <a:avLst/>
          </a:prstGeom>
          <a:ln w="28575">
            <a:gradFill flip="none" rotWithShape="1">
              <a:gsLst>
                <a:gs pos="19000">
                  <a:srgbClr val="141420">
                    <a:alpha val="60000"/>
                  </a:srgbClr>
                </a:gs>
                <a:gs pos="100000">
                  <a:schemeClr val="accent1">
                    <a:lumMod val="30000"/>
                    <a:lumOff val="70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BBB4CA6B-7397-85EC-C9C5-0520133E5848}"/>
              </a:ext>
            </a:extLst>
          </xdr:cNvPr>
          <xdr:cNvCxnSpPr/>
        </xdr:nvCxnSpPr>
        <xdr:spPr>
          <a:xfrm>
            <a:off x="2466117" y="3688398"/>
            <a:ext cx="1922055" cy="0"/>
          </a:xfrm>
          <a:prstGeom prst="line">
            <a:avLst/>
          </a:prstGeom>
          <a:ln w="15875">
            <a:gradFill flip="none" rotWithShape="1">
              <a:gsLst>
                <a:gs pos="19000">
                  <a:srgbClr val="141420">
                    <a:alpha val="18000"/>
                  </a:srgbClr>
                </a:gs>
                <a:gs pos="100000">
                  <a:schemeClr val="accent1">
                    <a:lumMod val="30000"/>
                    <a:lumOff val="70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sp macro="" textlink="">
        <xdr:nvSpPr>
          <xdr:cNvPr id="87" name="Oval 86">
            <a:extLst>
              <a:ext uri="{FF2B5EF4-FFF2-40B4-BE49-F238E27FC236}">
                <a16:creationId xmlns:a16="http://schemas.microsoft.com/office/drawing/2014/main" id="{97CDB439-4D5B-5EF6-AEDA-4D2FBA9D4BFE}"/>
              </a:ext>
            </a:extLst>
          </xdr:cNvPr>
          <xdr:cNvSpPr/>
        </xdr:nvSpPr>
        <xdr:spPr>
          <a:xfrm>
            <a:off x="3442138" y="3663512"/>
            <a:ext cx="61306" cy="61306"/>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4</xdr:col>
      <xdr:colOff>183194</xdr:colOff>
      <xdr:row>19</xdr:row>
      <xdr:rowOff>150183</xdr:rowOff>
    </xdr:from>
    <xdr:to>
      <xdr:col>6</xdr:col>
      <xdr:colOff>416700</xdr:colOff>
      <xdr:row>21</xdr:row>
      <xdr:rowOff>88827</xdr:rowOff>
    </xdr:to>
    <xdr:sp macro="" textlink="">
      <xdr:nvSpPr>
        <xdr:cNvPr id="88" name="Shape 105">
          <a:extLst>
            <a:ext uri="{FF2B5EF4-FFF2-40B4-BE49-F238E27FC236}">
              <a16:creationId xmlns:a16="http://schemas.microsoft.com/office/drawing/2014/main" id="{E5B76CBD-24C4-488A-B25E-733A99644D06}"/>
            </a:ext>
          </a:extLst>
        </xdr:cNvPr>
        <xdr:cNvSpPr txBox="1"/>
      </xdr:nvSpPr>
      <xdr:spPr>
        <a:xfrm>
          <a:off x="2621594" y="3775126"/>
          <a:ext cx="145732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Total Departments</a:t>
          </a:r>
          <a:endParaRPr sz="1400"/>
        </a:p>
      </xdr:txBody>
    </xdr:sp>
    <xdr:clientData fLocksWithSheet="0"/>
  </xdr:twoCellAnchor>
  <xdr:twoCellAnchor editAs="absolute">
    <xdr:from>
      <xdr:col>7</xdr:col>
      <xdr:colOff>655708</xdr:colOff>
      <xdr:row>19</xdr:row>
      <xdr:rowOff>150183</xdr:rowOff>
    </xdr:from>
    <xdr:to>
      <xdr:col>7</xdr:col>
      <xdr:colOff>2161936</xdr:colOff>
      <xdr:row>21</xdr:row>
      <xdr:rowOff>88827</xdr:rowOff>
    </xdr:to>
    <xdr:sp macro="" textlink="">
      <xdr:nvSpPr>
        <xdr:cNvPr id="89" name="Shape 108">
          <a:extLst>
            <a:ext uri="{FF2B5EF4-FFF2-40B4-BE49-F238E27FC236}">
              <a16:creationId xmlns:a16="http://schemas.microsoft.com/office/drawing/2014/main" id="{758B6A0F-0087-4BE1-B9A0-A29E84757F0A}"/>
            </a:ext>
          </a:extLst>
        </xdr:cNvPr>
        <xdr:cNvSpPr txBox="1"/>
      </xdr:nvSpPr>
      <xdr:spPr>
        <a:xfrm>
          <a:off x="5088008" y="3775126"/>
          <a:ext cx="151447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Total Managers</a:t>
          </a:r>
          <a:endParaRPr sz="1400"/>
        </a:p>
      </xdr:txBody>
    </xdr:sp>
    <xdr:clientData fLocksWithSheet="0"/>
  </xdr:twoCellAnchor>
  <xdr:twoCellAnchor editAs="absolute">
    <xdr:from>
      <xdr:col>7</xdr:col>
      <xdr:colOff>3457393</xdr:colOff>
      <xdr:row>19</xdr:row>
      <xdr:rowOff>140658</xdr:rowOff>
    </xdr:from>
    <xdr:to>
      <xdr:col>9</xdr:col>
      <xdr:colOff>277734</xdr:colOff>
      <xdr:row>21</xdr:row>
      <xdr:rowOff>79302</xdr:rowOff>
    </xdr:to>
    <xdr:sp macro="" textlink="">
      <xdr:nvSpPr>
        <xdr:cNvPr id="90" name="Shape 114">
          <a:extLst>
            <a:ext uri="{FF2B5EF4-FFF2-40B4-BE49-F238E27FC236}">
              <a16:creationId xmlns:a16="http://schemas.microsoft.com/office/drawing/2014/main" id="{30EA1AAF-9485-41C3-A9B8-AA29DA18B20C}"/>
            </a:ext>
          </a:extLst>
        </xdr:cNvPr>
        <xdr:cNvSpPr txBox="1"/>
      </xdr:nvSpPr>
      <xdr:spPr>
        <a:xfrm>
          <a:off x="7896950" y="3765601"/>
          <a:ext cx="149542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rgbClr val="A5A5A5"/>
              </a:solidFill>
              <a:latin typeface="Calibri"/>
              <a:ea typeface="Calibri"/>
              <a:cs typeface="Calibri"/>
              <a:sym typeface="Calibri"/>
            </a:rPr>
            <a:t>Total Non-Managers</a:t>
          </a:r>
          <a:endParaRPr sz="1400"/>
        </a:p>
      </xdr:txBody>
    </xdr:sp>
    <xdr:clientData fLocksWithSheet="0"/>
  </xdr:twoCellAnchor>
  <xdr:twoCellAnchor editAs="absolute">
    <xdr:from>
      <xdr:col>7</xdr:col>
      <xdr:colOff>2931276</xdr:colOff>
      <xdr:row>17</xdr:row>
      <xdr:rowOff>30200</xdr:rowOff>
    </xdr:from>
    <xdr:to>
      <xdr:col>7</xdr:col>
      <xdr:colOff>3651052</xdr:colOff>
      <xdr:row>18</xdr:row>
      <xdr:rowOff>146974</xdr:rowOff>
    </xdr:to>
    <xdr:sp macro="" textlink="">
      <xdr:nvSpPr>
        <xdr:cNvPr id="91" name="Shape 116">
          <a:extLst>
            <a:ext uri="{FF2B5EF4-FFF2-40B4-BE49-F238E27FC236}">
              <a16:creationId xmlns:a16="http://schemas.microsoft.com/office/drawing/2014/main" id="{568A7249-8BD1-4F86-9855-6B9E79C73378}"/>
            </a:ext>
          </a:extLst>
        </xdr:cNvPr>
        <xdr:cNvSpPr txBox="1"/>
      </xdr:nvSpPr>
      <xdr:spPr>
        <a:xfrm>
          <a:off x="7382556" y="3307080"/>
          <a:ext cx="723900"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595959"/>
              </a:solidFill>
              <a:latin typeface="Calibri"/>
              <a:ea typeface="Calibri"/>
              <a:cs typeface="Calibri"/>
              <a:sym typeface="Calibri"/>
            </a:rPr>
            <a:t>Job level</a:t>
          </a:r>
          <a:endParaRPr sz="1100" b="0">
            <a:solidFill>
              <a:srgbClr val="595959"/>
            </a:solidFill>
            <a:latin typeface="Calibri"/>
            <a:ea typeface="Calibri"/>
            <a:cs typeface="Calibri"/>
            <a:sym typeface="Calibri"/>
          </a:endParaRPr>
        </a:p>
      </xdr:txBody>
    </xdr:sp>
    <xdr:clientData fLocksWithSheet="0"/>
  </xdr:twoCellAnchor>
  <xdr:twoCellAnchor editAs="absolute">
    <xdr:from>
      <xdr:col>7</xdr:col>
      <xdr:colOff>296062</xdr:colOff>
      <xdr:row>17</xdr:row>
      <xdr:rowOff>23850</xdr:rowOff>
    </xdr:from>
    <xdr:to>
      <xdr:col>7</xdr:col>
      <xdr:colOff>1006314</xdr:colOff>
      <xdr:row>18</xdr:row>
      <xdr:rowOff>140624</xdr:rowOff>
    </xdr:to>
    <xdr:sp macro="" textlink="">
      <xdr:nvSpPr>
        <xdr:cNvPr id="92" name="Shape 117">
          <a:extLst>
            <a:ext uri="{FF2B5EF4-FFF2-40B4-BE49-F238E27FC236}">
              <a16:creationId xmlns:a16="http://schemas.microsoft.com/office/drawing/2014/main" id="{8B7A8A3D-2D0D-4155-BC3A-D036533EEF9F}"/>
            </a:ext>
          </a:extLst>
        </xdr:cNvPr>
        <xdr:cNvSpPr txBox="1"/>
      </xdr:nvSpPr>
      <xdr:spPr>
        <a:xfrm>
          <a:off x="4733386" y="3300730"/>
          <a:ext cx="71437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595959"/>
              </a:solidFill>
              <a:latin typeface="Calibri"/>
              <a:ea typeface="Calibri"/>
              <a:cs typeface="Calibri"/>
              <a:sym typeface="Calibri"/>
            </a:rPr>
            <a:t>Job level</a:t>
          </a:r>
          <a:endParaRPr sz="1100" b="0">
            <a:solidFill>
              <a:srgbClr val="595959"/>
            </a:solidFill>
            <a:latin typeface="Calibri"/>
            <a:ea typeface="Calibri"/>
            <a:cs typeface="Calibri"/>
            <a:sym typeface="Calibri"/>
          </a:endParaRPr>
        </a:p>
      </xdr:txBody>
    </xdr:sp>
    <xdr:clientData fLocksWithSheet="0"/>
  </xdr:twoCellAnchor>
  <xdr:twoCellAnchor editAs="absolute">
    <xdr:from>
      <xdr:col>13</xdr:col>
      <xdr:colOff>318519</xdr:colOff>
      <xdr:row>16</xdr:row>
      <xdr:rowOff>167739</xdr:rowOff>
    </xdr:from>
    <xdr:to>
      <xdr:col>14</xdr:col>
      <xdr:colOff>478134</xdr:colOff>
      <xdr:row>18</xdr:row>
      <xdr:rowOff>131659</xdr:rowOff>
    </xdr:to>
    <xdr:sp macro="" textlink="">
      <xdr:nvSpPr>
        <xdr:cNvPr id="93" name="Shape 122">
          <a:extLst>
            <a:ext uri="{FF2B5EF4-FFF2-40B4-BE49-F238E27FC236}">
              <a16:creationId xmlns:a16="http://schemas.microsoft.com/office/drawing/2014/main" id="{97726CC4-889C-4A07-8444-DB9F5042B937}"/>
            </a:ext>
          </a:extLst>
        </xdr:cNvPr>
        <xdr:cNvSpPr txBox="1"/>
      </xdr:nvSpPr>
      <xdr:spPr>
        <a:xfrm>
          <a:off x="11764847" y="3240232"/>
          <a:ext cx="771525" cy="3333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595959"/>
              </a:solidFill>
              <a:latin typeface="Calibri"/>
              <a:ea typeface="Calibri"/>
              <a:cs typeface="Calibri"/>
              <a:sym typeface="Calibri"/>
            </a:rPr>
            <a:t>Quarterly</a:t>
          </a:r>
          <a:endParaRPr sz="1400"/>
        </a:p>
      </xdr:txBody>
    </xdr:sp>
    <xdr:clientData fLocksWithSheet="0"/>
  </xdr:twoCellAnchor>
  <xdr:twoCellAnchor editAs="absolute">
    <xdr:from>
      <xdr:col>4</xdr:col>
      <xdr:colOff>259394</xdr:colOff>
      <xdr:row>17</xdr:row>
      <xdr:rowOff>169233</xdr:rowOff>
    </xdr:from>
    <xdr:to>
      <xdr:col>6</xdr:col>
      <xdr:colOff>492900</xdr:colOff>
      <xdr:row>19</xdr:row>
      <xdr:rowOff>107877</xdr:rowOff>
    </xdr:to>
    <xdr:sp macro="" textlink="'Analysis 1'!V6">
      <xdr:nvSpPr>
        <xdr:cNvPr id="94" name="Shape 105">
          <a:extLst>
            <a:ext uri="{FF2B5EF4-FFF2-40B4-BE49-F238E27FC236}">
              <a16:creationId xmlns:a16="http://schemas.microsoft.com/office/drawing/2014/main" id="{C24398BF-B041-7111-F1A6-6D21C517953E}"/>
            </a:ext>
          </a:extLst>
        </xdr:cNvPr>
        <xdr:cNvSpPr txBox="1"/>
      </xdr:nvSpPr>
      <xdr:spPr>
        <a:xfrm>
          <a:off x="2697794" y="3425876"/>
          <a:ext cx="145732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C4432C54-DE5A-4893-AE74-B56412803F63}"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9</a:t>
          </a:fld>
          <a:endParaRPr sz="21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7</xdr:col>
      <xdr:colOff>789058</xdr:colOff>
      <xdr:row>17</xdr:row>
      <xdr:rowOff>169233</xdr:rowOff>
    </xdr:from>
    <xdr:to>
      <xdr:col>7</xdr:col>
      <xdr:colOff>2291163</xdr:colOff>
      <xdr:row>19</xdr:row>
      <xdr:rowOff>107877</xdr:rowOff>
    </xdr:to>
    <xdr:sp macro="" textlink="'Analysis 1'!Y4">
      <xdr:nvSpPr>
        <xdr:cNvPr id="95" name="Shape 108">
          <a:extLst>
            <a:ext uri="{FF2B5EF4-FFF2-40B4-BE49-F238E27FC236}">
              <a16:creationId xmlns:a16="http://schemas.microsoft.com/office/drawing/2014/main" id="{F3B301B2-CD61-1425-359C-402B713874F3}"/>
            </a:ext>
          </a:extLst>
        </xdr:cNvPr>
        <xdr:cNvSpPr txBox="1"/>
      </xdr:nvSpPr>
      <xdr:spPr>
        <a:xfrm>
          <a:off x="5221358" y="3425876"/>
          <a:ext cx="151447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5F123356-2688-4177-BC18-F192FC346877}"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29</a:t>
          </a:fld>
          <a:endParaRPr sz="21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7</xdr:col>
      <xdr:colOff>3538128</xdr:colOff>
      <xdr:row>17</xdr:row>
      <xdr:rowOff>169233</xdr:rowOff>
    </xdr:from>
    <xdr:to>
      <xdr:col>9</xdr:col>
      <xdr:colOff>362593</xdr:colOff>
      <xdr:row>19</xdr:row>
      <xdr:rowOff>107877</xdr:rowOff>
    </xdr:to>
    <xdr:sp macro="" textlink="'Analysis 1'!Y5">
      <xdr:nvSpPr>
        <xdr:cNvPr id="96" name="Shape 114">
          <a:extLst>
            <a:ext uri="{FF2B5EF4-FFF2-40B4-BE49-F238E27FC236}">
              <a16:creationId xmlns:a16="http://schemas.microsoft.com/office/drawing/2014/main" id="{BE4F2334-D0D4-36B0-2BF3-FE8BD3E9D816}"/>
            </a:ext>
          </a:extLst>
        </xdr:cNvPr>
        <xdr:cNvSpPr txBox="1"/>
      </xdr:nvSpPr>
      <xdr:spPr>
        <a:xfrm>
          <a:off x="7979500" y="3425876"/>
          <a:ext cx="149542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35E7903D-6B9A-4ED1-A90B-60FEB2E2CA45}" type="TxLink">
            <a:rPr lang="en-US" sz="2100" b="0" i="0" u="none" strike="noStrike">
              <a:solidFill>
                <a:schemeClr val="bg1">
                  <a:lumMod val="85000"/>
                </a:schemeClr>
              </a:solidFill>
              <a:latin typeface="Calibri"/>
              <a:ea typeface="Calibri"/>
              <a:cs typeface="Calibri"/>
              <a:sym typeface="Calibri"/>
            </a:rPr>
            <a:pPr marL="0" lvl="0" indent="0" algn="ctr" rtl="0">
              <a:spcBef>
                <a:spcPts val="0"/>
              </a:spcBef>
              <a:spcAft>
                <a:spcPts val="0"/>
              </a:spcAft>
              <a:buNone/>
            </a:pPr>
            <a:t>122</a:t>
          </a:fld>
          <a:endParaRPr sz="2100" b="0"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10</xdr:col>
      <xdr:colOff>375046</xdr:colOff>
      <xdr:row>17</xdr:row>
      <xdr:rowOff>152223</xdr:rowOff>
    </xdr:from>
    <xdr:to>
      <xdr:col>14</xdr:col>
      <xdr:colOff>486095</xdr:colOff>
      <xdr:row>21</xdr:row>
      <xdr:rowOff>125042</xdr:rowOff>
    </xdr:to>
    <xdr:graphicFrame macro="">
      <xdr:nvGraphicFramePr>
        <xdr:cNvPr id="97" name="Chart 96">
          <a:extLst>
            <a:ext uri="{FF2B5EF4-FFF2-40B4-BE49-F238E27FC236}">
              <a16:creationId xmlns:a16="http://schemas.microsoft.com/office/drawing/2014/main" id="{92D5B654-76FE-4101-BAB4-3949336BB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7</xdr:col>
      <xdr:colOff>338400</xdr:colOff>
      <xdr:row>22</xdr:row>
      <xdr:rowOff>41728</xdr:rowOff>
    </xdr:from>
    <xdr:to>
      <xdr:col>7</xdr:col>
      <xdr:colOff>2685543</xdr:colOff>
      <xdr:row>29</xdr:row>
      <xdr:rowOff>102297</xdr:rowOff>
    </xdr:to>
    <xdr:sp macro="" textlink="">
      <xdr:nvSpPr>
        <xdr:cNvPr id="98" name="Rectangle 97">
          <a:extLst>
            <a:ext uri="{FF2B5EF4-FFF2-40B4-BE49-F238E27FC236}">
              <a16:creationId xmlns:a16="http://schemas.microsoft.com/office/drawing/2014/main" id="{E632E398-7F49-7852-1B69-E956A73ECC50}"/>
            </a:ext>
          </a:extLst>
        </xdr:cNvPr>
        <xdr:cNvSpPr/>
      </xdr:nvSpPr>
      <xdr:spPr>
        <a:xfrm>
          <a:off x="4756186" y="4160157"/>
          <a:ext cx="2347143" cy="1330569"/>
        </a:xfrm>
        <a:prstGeom prst="rect">
          <a:avLst/>
        </a:prstGeom>
        <a:solidFill>
          <a:srgbClr val="141420">
            <a:alpha val="40000"/>
          </a:srgbClr>
        </a:solidFill>
        <a:ln>
          <a:solidFill>
            <a:schemeClr val="tx2">
              <a:lumMod val="95000"/>
              <a:lumOff val="5000"/>
              <a:alpha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1277373</xdr:colOff>
      <xdr:row>24</xdr:row>
      <xdr:rowOff>91175</xdr:rowOff>
    </xdr:from>
    <xdr:to>
      <xdr:col>7</xdr:col>
      <xdr:colOff>1793262</xdr:colOff>
      <xdr:row>27</xdr:row>
      <xdr:rowOff>52850</xdr:rowOff>
    </xdr:to>
    <xdr:sp macro="" textlink="">
      <xdr:nvSpPr>
        <xdr:cNvPr id="99" name="Oval 98">
          <a:extLst>
            <a:ext uri="{FF2B5EF4-FFF2-40B4-BE49-F238E27FC236}">
              <a16:creationId xmlns:a16="http://schemas.microsoft.com/office/drawing/2014/main" id="{CC327914-6533-F04F-34AC-DA9390FE90A4}"/>
            </a:ext>
          </a:extLst>
        </xdr:cNvPr>
        <xdr:cNvSpPr/>
      </xdr:nvSpPr>
      <xdr:spPr>
        <a:xfrm>
          <a:off x="5699456" y="4625458"/>
          <a:ext cx="516367" cy="513121"/>
        </a:xfrm>
        <a:prstGeom prst="ellipse">
          <a:avLst/>
        </a:prstGeom>
        <a:noFill/>
        <a:ln w="15875">
          <a:solidFill>
            <a:schemeClr val="bg1">
              <a:lumMod val="5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1186467</xdr:colOff>
      <xdr:row>24</xdr:row>
      <xdr:rowOff>840</xdr:rowOff>
    </xdr:from>
    <xdr:to>
      <xdr:col>7</xdr:col>
      <xdr:colOff>1884167</xdr:colOff>
      <xdr:row>27</xdr:row>
      <xdr:rowOff>140797</xdr:rowOff>
    </xdr:to>
    <xdr:sp macro="" textlink="">
      <xdr:nvSpPr>
        <xdr:cNvPr id="101" name="Oval 100">
          <a:extLst>
            <a:ext uri="{FF2B5EF4-FFF2-40B4-BE49-F238E27FC236}">
              <a16:creationId xmlns:a16="http://schemas.microsoft.com/office/drawing/2014/main" id="{41AF24DF-B373-4771-A7C2-3910A3870F24}"/>
            </a:ext>
          </a:extLst>
        </xdr:cNvPr>
        <xdr:cNvSpPr/>
      </xdr:nvSpPr>
      <xdr:spPr>
        <a:xfrm>
          <a:off x="5608550" y="4535123"/>
          <a:ext cx="698178" cy="693790"/>
        </a:xfrm>
        <a:prstGeom prst="ellipse">
          <a:avLst/>
        </a:prstGeom>
        <a:noFill/>
        <a:ln w="15875">
          <a:solidFill>
            <a:schemeClr val="bg1">
              <a:lumMod val="5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1535556</xdr:colOff>
      <xdr:row>22</xdr:row>
      <xdr:rowOff>41728</xdr:rowOff>
    </xdr:from>
    <xdr:to>
      <xdr:col>7</xdr:col>
      <xdr:colOff>1535556</xdr:colOff>
      <xdr:row>29</xdr:row>
      <xdr:rowOff>102297</xdr:rowOff>
    </xdr:to>
    <xdr:cxnSp macro="">
      <xdr:nvCxnSpPr>
        <xdr:cNvPr id="105" name="Straight Connector 104">
          <a:extLst>
            <a:ext uri="{FF2B5EF4-FFF2-40B4-BE49-F238E27FC236}">
              <a16:creationId xmlns:a16="http://schemas.microsoft.com/office/drawing/2014/main" id="{FC7D6228-F7D7-0B82-AD73-C361E465EF9D}"/>
            </a:ext>
          </a:extLst>
        </xdr:cNvPr>
        <xdr:cNvCxnSpPr/>
      </xdr:nvCxnSpPr>
      <xdr:spPr>
        <a:xfrm>
          <a:off x="5957639" y="4208379"/>
          <a:ext cx="0" cy="1347279"/>
        </a:xfrm>
        <a:prstGeom prst="line">
          <a:avLst/>
        </a:prstGeom>
        <a:noFill/>
        <a:ln w="12700">
          <a:solidFill>
            <a:schemeClr val="bg1">
              <a:lumMod val="5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editAs="absolute">
    <xdr:from>
      <xdr:col>7</xdr:col>
      <xdr:colOff>361985</xdr:colOff>
      <xdr:row>25</xdr:row>
      <xdr:rowOff>161533</xdr:rowOff>
    </xdr:from>
    <xdr:to>
      <xdr:col>7</xdr:col>
      <xdr:colOff>2709128</xdr:colOff>
      <xdr:row>25</xdr:row>
      <xdr:rowOff>161533</xdr:rowOff>
    </xdr:to>
    <xdr:cxnSp macro="">
      <xdr:nvCxnSpPr>
        <xdr:cNvPr id="106" name="Straight Connector 105">
          <a:extLst>
            <a:ext uri="{FF2B5EF4-FFF2-40B4-BE49-F238E27FC236}">
              <a16:creationId xmlns:a16="http://schemas.microsoft.com/office/drawing/2014/main" id="{C2A6D34F-ECA5-FAC2-24E3-84779FB56898}"/>
            </a:ext>
          </a:extLst>
        </xdr:cNvPr>
        <xdr:cNvCxnSpPr/>
      </xdr:nvCxnSpPr>
      <xdr:spPr>
        <a:xfrm flipH="1">
          <a:off x="4783113" y="4882018"/>
          <a:ext cx="2349053" cy="0"/>
        </a:xfrm>
        <a:prstGeom prst="line">
          <a:avLst/>
        </a:prstGeom>
        <a:noFill/>
        <a:ln w="12700">
          <a:solidFill>
            <a:schemeClr val="bg1">
              <a:lumMod val="5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editAs="absolute">
    <xdr:from>
      <xdr:col>7</xdr:col>
      <xdr:colOff>475852</xdr:colOff>
      <xdr:row>22</xdr:row>
      <xdr:rowOff>138262</xdr:rowOff>
    </xdr:from>
    <xdr:to>
      <xdr:col>7</xdr:col>
      <xdr:colOff>2591861</xdr:colOff>
      <xdr:row>29</xdr:row>
      <xdr:rowOff>4631</xdr:rowOff>
    </xdr:to>
    <xdr:graphicFrame macro="">
      <xdr:nvGraphicFramePr>
        <xdr:cNvPr id="109" name="Chart 108">
          <a:extLst>
            <a:ext uri="{FF2B5EF4-FFF2-40B4-BE49-F238E27FC236}">
              <a16:creationId xmlns:a16="http://schemas.microsoft.com/office/drawing/2014/main" id="{E08C158B-13CF-4495-8CEB-56CAEC9728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7</xdr:col>
      <xdr:colOff>1024078</xdr:colOff>
      <xdr:row>23</xdr:row>
      <xdr:rowOff>23167</xdr:rowOff>
    </xdr:from>
    <xdr:to>
      <xdr:col>7</xdr:col>
      <xdr:colOff>2047035</xdr:colOff>
      <xdr:row>28</xdr:row>
      <xdr:rowOff>116673</xdr:rowOff>
    </xdr:to>
    <xdr:sp macro="" textlink="">
      <xdr:nvSpPr>
        <xdr:cNvPr id="110" name="Oval 109">
          <a:extLst>
            <a:ext uri="{FF2B5EF4-FFF2-40B4-BE49-F238E27FC236}">
              <a16:creationId xmlns:a16="http://schemas.microsoft.com/office/drawing/2014/main" id="{AEDEB95D-76AA-4E0E-9DCB-F4244148ED7C}"/>
            </a:ext>
          </a:extLst>
        </xdr:cNvPr>
        <xdr:cNvSpPr/>
      </xdr:nvSpPr>
      <xdr:spPr>
        <a:xfrm>
          <a:off x="5445683" y="4373633"/>
          <a:ext cx="1023913" cy="1014972"/>
        </a:xfrm>
        <a:prstGeom prst="ellipse">
          <a:avLst/>
        </a:prstGeom>
        <a:noFill/>
        <a:ln w="15875">
          <a:solidFill>
            <a:schemeClr val="bg1">
              <a:lumMod val="5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510687</xdr:colOff>
      <xdr:row>31</xdr:row>
      <xdr:rowOff>164976</xdr:rowOff>
    </xdr:from>
    <xdr:to>
      <xdr:col>7</xdr:col>
      <xdr:colOff>605937</xdr:colOff>
      <xdr:row>35</xdr:row>
      <xdr:rowOff>147065</xdr:rowOff>
    </xdr:to>
    <xdr:grpSp>
      <xdr:nvGrpSpPr>
        <xdr:cNvPr id="111" name="Shape 2">
          <a:extLst>
            <a:ext uri="{FF2B5EF4-FFF2-40B4-BE49-F238E27FC236}">
              <a16:creationId xmlns:a16="http://schemas.microsoft.com/office/drawing/2014/main" id="{A0838D08-0DB9-4EAC-A8AB-478D5B08C1C8}"/>
            </a:ext>
          </a:extLst>
        </xdr:cNvPr>
        <xdr:cNvGrpSpPr/>
      </xdr:nvGrpSpPr>
      <xdr:grpSpPr>
        <a:xfrm>
          <a:off x="4928473" y="5916262"/>
          <a:ext cx="95250" cy="707803"/>
          <a:chOff x="5298375" y="3475204"/>
          <a:chExt cx="95250" cy="720998"/>
        </a:xfrm>
      </xdr:grpSpPr>
      <xdr:grpSp>
        <xdr:nvGrpSpPr>
          <xdr:cNvPr id="112" name="Shape 43">
            <a:extLst>
              <a:ext uri="{FF2B5EF4-FFF2-40B4-BE49-F238E27FC236}">
                <a16:creationId xmlns:a16="http://schemas.microsoft.com/office/drawing/2014/main" id="{9E026686-1B6F-2CAF-D9A2-AC3655BC32B5}"/>
              </a:ext>
            </a:extLst>
          </xdr:cNvPr>
          <xdr:cNvGrpSpPr/>
        </xdr:nvGrpSpPr>
        <xdr:grpSpPr>
          <a:xfrm>
            <a:off x="5298375" y="3475204"/>
            <a:ext cx="95250" cy="720998"/>
            <a:chOff x="5019676" y="5876925"/>
            <a:chExt cx="95250" cy="687201"/>
          </a:xfrm>
        </xdr:grpSpPr>
        <xdr:sp macro="" textlink="">
          <xdr:nvSpPr>
            <xdr:cNvPr id="113" name="Shape 39">
              <a:extLst>
                <a:ext uri="{FF2B5EF4-FFF2-40B4-BE49-F238E27FC236}">
                  <a16:creationId xmlns:a16="http://schemas.microsoft.com/office/drawing/2014/main" id="{35DAC278-B1E8-F403-A372-C36C97234D37}"/>
                </a:ext>
              </a:extLst>
            </xdr:cNvPr>
            <xdr:cNvSpPr/>
          </xdr:nvSpPr>
          <xdr:spPr>
            <a:xfrm>
              <a:off x="5019676" y="5876925"/>
              <a:ext cx="95250" cy="5810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14" name="Shape 44">
              <a:extLst>
                <a:ext uri="{FF2B5EF4-FFF2-40B4-BE49-F238E27FC236}">
                  <a16:creationId xmlns:a16="http://schemas.microsoft.com/office/drawing/2014/main" id="{523AE175-2C85-CF3C-3C09-9F69988EBF28}"/>
                </a:ext>
              </a:extLst>
            </xdr:cNvPr>
            <xdr:cNvSpPr/>
          </xdr:nvSpPr>
          <xdr:spPr>
            <a:xfrm>
              <a:off x="5019676" y="5876925"/>
              <a:ext cx="95250" cy="95250"/>
            </a:xfrm>
            <a:prstGeom prst="roundRect">
              <a:avLst>
                <a:gd name="adj" fmla="val 30303"/>
              </a:avLst>
            </a:prstGeom>
            <a:solidFill>
              <a:srgbClr val="758A33"/>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5" name="Shape 45">
              <a:extLst>
                <a:ext uri="{FF2B5EF4-FFF2-40B4-BE49-F238E27FC236}">
                  <a16:creationId xmlns:a16="http://schemas.microsoft.com/office/drawing/2014/main" id="{C73FAFFA-7646-7757-54FE-9E9439DA5CC2}"/>
                </a:ext>
              </a:extLst>
            </xdr:cNvPr>
            <xdr:cNvSpPr/>
          </xdr:nvSpPr>
          <xdr:spPr>
            <a:xfrm>
              <a:off x="5019676" y="6468876"/>
              <a:ext cx="95250" cy="95250"/>
            </a:xfrm>
            <a:prstGeom prst="roundRect">
              <a:avLst>
                <a:gd name="adj" fmla="val 30303"/>
              </a:avLst>
            </a:prstGeom>
            <a:solidFill>
              <a:srgbClr val="91331D"/>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6" name="Shape 46">
              <a:extLst>
                <a:ext uri="{FF2B5EF4-FFF2-40B4-BE49-F238E27FC236}">
                  <a16:creationId xmlns:a16="http://schemas.microsoft.com/office/drawing/2014/main" id="{C71CA66E-B22D-56F9-A16D-8A17DAA1D922}"/>
                </a:ext>
              </a:extLst>
            </xdr:cNvPr>
            <xdr:cNvSpPr/>
          </xdr:nvSpPr>
          <xdr:spPr>
            <a:xfrm>
              <a:off x="5019676" y="6172901"/>
              <a:ext cx="95250" cy="95250"/>
            </a:xfrm>
            <a:prstGeom prst="roundRect">
              <a:avLst>
                <a:gd name="adj" fmla="val 30303"/>
              </a:avLst>
            </a:prstGeom>
            <a:solidFill>
              <a:srgbClr val="39365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clientData fLocksWithSheet="0"/>
  </xdr:twoCellAnchor>
  <xdr:twoCellAnchor editAs="absolute">
    <xdr:from>
      <xdr:col>7</xdr:col>
      <xdr:colOff>571567</xdr:colOff>
      <xdr:row>31</xdr:row>
      <xdr:rowOff>48702</xdr:rowOff>
    </xdr:from>
    <xdr:to>
      <xdr:col>7</xdr:col>
      <xdr:colOff>2530870</xdr:colOff>
      <xdr:row>36</xdr:row>
      <xdr:rowOff>76211</xdr:rowOff>
    </xdr:to>
    <xdr:grpSp>
      <xdr:nvGrpSpPr>
        <xdr:cNvPr id="123" name="Shape 2">
          <a:extLst>
            <a:ext uri="{FF2B5EF4-FFF2-40B4-BE49-F238E27FC236}">
              <a16:creationId xmlns:a16="http://schemas.microsoft.com/office/drawing/2014/main" id="{CD30F486-663B-47EB-A711-AB2CB1AE2B40}"/>
            </a:ext>
          </a:extLst>
        </xdr:cNvPr>
        <xdr:cNvGrpSpPr/>
      </xdr:nvGrpSpPr>
      <xdr:grpSpPr>
        <a:xfrm>
          <a:off x="4989353" y="5799988"/>
          <a:ext cx="1959303" cy="934652"/>
          <a:chOff x="4969759" y="3375194"/>
          <a:chExt cx="1971673" cy="951146"/>
        </a:xfrm>
      </xdr:grpSpPr>
      <xdr:grpSp>
        <xdr:nvGrpSpPr>
          <xdr:cNvPr id="124" name="Shape 38">
            <a:extLst>
              <a:ext uri="{FF2B5EF4-FFF2-40B4-BE49-F238E27FC236}">
                <a16:creationId xmlns:a16="http://schemas.microsoft.com/office/drawing/2014/main" id="{4A29A112-8766-8224-686F-50BF0A19247E}"/>
              </a:ext>
            </a:extLst>
          </xdr:cNvPr>
          <xdr:cNvGrpSpPr/>
        </xdr:nvGrpSpPr>
        <xdr:grpSpPr>
          <a:xfrm>
            <a:off x="4969759" y="3375194"/>
            <a:ext cx="1971673" cy="951146"/>
            <a:chOff x="4905375" y="5629275"/>
            <a:chExt cx="1197979" cy="906385"/>
          </a:xfrm>
        </xdr:grpSpPr>
        <xdr:sp macro="" textlink="">
          <xdr:nvSpPr>
            <xdr:cNvPr id="125" name="Shape 39">
              <a:extLst>
                <a:ext uri="{FF2B5EF4-FFF2-40B4-BE49-F238E27FC236}">
                  <a16:creationId xmlns:a16="http://schemas.microsoft.com/office/drawing/2014/main" id="{E2EA2945-476E-3E8C-228B-C4D0E13789F2}"/>
                </a:ext>
              </a:extLst>
            </xdr:cNvPr>
            <xdr:cNvSpPr/>
          </xdr:nvSpPr>
          <xdr:spPr>
            <a:xfrm>
              <a:off x="4905375" y="5629275"/>
              <a:ext cx="457200" cy="7715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Analysis 1'!$AD$9">
          <xdr:nvSpPr>
            <xdr:cNvPr id="126" name="Shape 40">
              <a:extLst>
                <a:ext uri="{FF2B5EF4-FFF2-40B4-BE49-F238E27FC236}">
                  <a16:creationId xmlns:a16="http://schemas.microsoft.com/office/drawing/2014/main" id="{E0B2909E-4233-1005-F25C-34C8A8636ED1}"/>
                </a:ext>
              </a:extLst>
            </xdr:cNvPr>
            <xdr:cNvSpPr txBox="1"/>
          </xdr:nvSpPr>
          <xdr:spPr>
            <a:xfrm>
              <a:off x="4905375" y="5639650"/>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417A1623-37F2-40AD-8888-DFDFBAAD9320}" type="TxLink">
                <a:rPr lang="en-US" sz="1100" b="1" i="0" u="none" strike="noStrike">
                  <a:solidFill>
                    <a:schemeClr val="accent1">
                      <a:lumMod val="60000"/>
                      <a:lumOff val="40000"/>
                    </a:schemeClr>
                  </a:solidFill>
                  <a:latin typeface="Calibri"/>
                  <a:ea typeface="Calibri"/>
                  <a:cs typeface="Calibri"/>
                </a:rPr>
                <a:pPr marL="0" lvl="0" indent="0" algn="ctr" rtl="0">
                  <a:spcBef>
                    <a:spcPts val="0"/>
                  </a:spcBef>
                  <a:spcAft>
                    <a:spcPts val="0"/>
                  </a:spcAft>
                  <a:buNone/>
                </a:pPr>
                <a:t>31 to 40</a:t>
              </a:fld>
              <a:endParaRPr lang="en-US" b="1" i="0" u="none" strike="noStrike">
                <a:solidFill>
                  <a:schemeClr val="accent1">
                    <a:lumMod val="60000"/>
                    <a:lumOff val="40000"/>
                  </a:schemeClr>
                </a:solidFill>
                <a:latin typeface="Calibri"/>
                <a:ea typeface="Calibri"/>
                <a:cs typeface="Calibri"/>
              </a:endParaRPr>
            </a:p>
          </xdr:txBody>
        </xdr:sp>
        <xdr:sp macro="" textlink="'Analysis 1'!$AD$10">
          <xdr:nvSpPr>
            <xdr:cNvPr id="127" name="Shape 41">
              <a:extLst>
                <a:ext uri="{FF2B5EF4-FFF2-40B4-BE49-F238E27FC236}">
                  <a16:creationId xmlns:a16="http://schemas.microsoft.com/office/drawing/2014/main" id="{038C8467-00DA-116C-296D-D97311FFA6A2}"/>
                </a:ext>
              </a:extLst>
            </xdr:cNvPr>
            <xdr:cNvSpPr txBox="1"/>
          </xdr:nvSpPr>
          <xdr:spPr>
            <a:xfrm>
              <a:off x="4905375" y="5946080"/>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72D213AE-5C8B-4182-AF6E-EACCA25A8FFD}" type="TxLink">
                <a:rPr lang="en-US" sz="1100" b="1" i="0" u="none" strike="noStrike">
                  <a:solidFill>
                    <a:schemeClr val="accent1">
                      <a:lumMod val="60000"/>
                      <a:lumOff val="40000"/>
                    </a:schemeClr>
                  </a:solidFill>
                  <a:latin typeface="Calibri"/>
                  <a:ea typeface="Calibri"/>
                  <a:cs typeface="Calibri"/>
                </a:rPr>
                <a:pPr marL="0" lvl="0" indent="0" algn="ctr" rtl="0">
                  <a:spcBef>
                    <a:spcPts val="0"/>
                  </a:spcBef>
                  <a:spcAft>
                    <a:spcPts val="0"/>
                  </a:spcAft>
                  <a:buNone/>
                </a:pPr>
                <a:t>41 to 50</a:t>
              </a:fld>
              <a:endParaRPr lang="en-US" b="1" i="0" u="none" strike="noStrike">
                <a:solidFill>
                  <a:schemeClr val="accent1">
                    <a:lumMod val="60000"/>
                    <a:lumOff val="40000"/>
                  </a:schemeClr>
                </a:solidFill>
                <a:latin typeface="Calibri"/>
                <a:ea typeface="Calibri"/>
                <a:cs typeface="Calibri"/>
              </a:endParaRPr>
            </a:p>
          </xdr:txBody>
        </xdr:sp>
        <xdr:sp macro="" textlink="'Analysis 1'!$AD$11">
          <xdr:nvSpPr>
            <xdr:cNvPr id="128" name="Shape 42">
              <a:extLst>
                <a:ext uri="{FF2B5EF4-FFF2-40B4-BE49-F238E27FC236}">
                  <a16:creationId xmlns:a16="http://schemas.microsoft.com/office/drawing/2014/main" id="{FA9AD005-96C8-07D5-6970-E698DB15661F}"/>
                </a:ext>
              </a:extLst>
            </xdr:cNvPr>
            <xdr:cNvSpPr txBox="1"/>
          </xdr:nvSpPr>
          <xdr:spPr>
            <a:xfrm>
              <a:off x="4905375" y="6240384"/>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AA819A2-5053-42D2-830F-E4187786B388}" type="TxLink">
                <a:rPr lang="en-US" sz="1100" b="1" i="0" u="none" strike="noStrike">
                  <a:solidFill>
                    <a:schemeClr val="accent1">
                      <a:lumMod val="60000"/>
                      <a:lumOff val="40000"/>
                    </a:schemeClr>
                  </a:solidFill>
                  <a:latin typeface="Calibri"/>
                  <a:ea typeface="Calibri"/>
                  <a:cs typeface="Calibri"/>
                </a:rPr>
                <a:pPr marL="0" lvl="0" indent="0" algn="ctr" rtl="0">
                  <a:spcBef>
                    <a:spcPts val="0"/>
                  </a:spcBef>
                  <a:spcAft>
                    <a:spcPts val="0"/>
                  </a:spcAft>
                  <a:buNone/>
                </a:pPr>
                <a:t>50 to 60</a:t>
              </a:fld>
              <a:endParaRPr lang="en-US" b="1" i="0" u="none" strike="noStrike">
                <a:solidFill>
                  <a:schemeClr val="accent1">
                    <a:lumMod val="60000"/>
                    <a:lumOff val="40000"/>
                  </a:schemeClr>
                </a:solidFill>
                <a:latin typeface="Calibri"/>
                <a:ea typeface="Calibri"/>
                <a:cs typeface="Calibri"/>
              </a:endParaRPr>
            </a:p>
          </xdr:txBody>
        </xdr:sp>
        <xdr:sp macro="" textlink="'Analysis 1'!$AE$4">
          <xdr:nvSpPr>
            <xdr:cNvPr id="129" name="Shape 40">
              <a:extLst>
                <a:ext uri="{FF2B5EF4-FFF2-40B4-BE49-F238E27FC236}">
                  <a16:creationId xmlns:a16="http://schemas.microsoft.com/office/drawing/2014/main" id="{6FD6F050-ED21-2759-56DD-C196C7C68CED}"/>
                </a:ext>
              </a:extLst>
            </xdr:cNvPr>
            <xdr:cNvSpPr txBox="1"/>
          </xdr:nvSpPr>
          <xdr:spPr>
            <a:xfrm>
              <a:off x="5315449" y="5632734"/>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5F717B9E-F3CF-4976-A8F2-A52741FBD5ED}"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51</a:t>
              </a:fld>
              <a:endParaRPr lang="en-US" b="1" i="0" u="none" strike="noStrike">
                <a:solidFill>
                  <a:schemeClr val="accent1">
                    <a:lumMod val="40000"/>
                    <a:lumOff val="60000"/>
                  </a:schemeClr>
                </a:solidFill>
                <a:latin typeface="Calibri"/>
                <a:ea typeface="Calibri"/>
                <a:cs typeface="Calibri"/>
              </a:endParaRPr>
            </a:p>
          </xdr:txBody>
        </xdr:sp>
        <xdr:sp macro="" textlink="'Analysis 1'!$AE$5">
          <xdr:nvSpPr>
            <xdr:cNvPr id="130" name="Shape 41">
              <a:extLst>
                <a:ext uri="{FF2B5EF4-FFF2-40B4-BE49-F238E27FC236}">
                  <a16:creationId xmlns:a16="http://schemas.microsoft.com/office/drawing/2014/main" id="{904DF14C-B11E-5300-1ADC-DD5054AC90D5}"/>
                </a:ext>
              </a:extLst>
            </xdr:cNvPr>
            <xdr:cNvSpPr txBox="1"/>
          </xdr:nvSpPr>
          <xdr:spPr>
            <a:xfrm>
              <a:off x="5315449" y="5939164"/>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C2D26302-A4D6-4225-A977-1D2B7F5B0F14}"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73</a:t>
              </a:fld>
              <a:endParaRPr lang="en-US" b="1" i="0" u="none" strike="noStrike">
                <a:solidFill>
                  <a:schemeClr val="accent1">
                    <a:lumMod val="40000"/>
                    <a:lumOff val="60000"/>
                  </a:schemeClr>
                </a:solidFill>
                <a:latin typeface="Calibri"/>
                <a:ea typeface="Calibri"/>
                <a:cs typeface="Calibri"/>
              </a:endParaRPr>
            </a:p>
          </xdr:txBody>
        </xdr:sp>
        <xdr:sp macro="" textlink="'Analysis 1'!$AE$6">
          <xdr:nvSpPr>
            <xdr:cNvPr id="131" name="Shape 42">
              <a:extLst>
                <a:ext uri="{FF2B5EF4-FFF2-40B4-BE49-F238E27FC236}">
                  <a16:creationId xmlns:a16="http://schemas.microsoft.com/office/drawing/2014/main" id="{11C322D2-FE11-67C4-478B-EBDD42D93B02}"/>
                </a:ext>
              </a:extLst>
            </xdr:cNvPr>
            <xdr:cNvSpPr txBox="1"/>
          </xdr:nvSpPr>
          <xdr:spPr>
            <a:xfrm>
              <a:off x="5315449" y="6233468"/>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2A1A4516-F9D7-4F69-96C5-5281FC3796A3}"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27</a:t>
              </a:fld>
              <a:endParaRPr lang="en-US" b="1" i="0" u="none" strike="noStrike">
                <a:solidFill>
                  <a:schemeClr val="accent1">
                    <a:lumMod val="40000"/>
                    <a:lumOff val="60000"/>
                  </a:schemeClr>
                </a:solidFill>
                <a:latin typeface="Calibri"/>
                <a:ea typeface="Calibri"/>
                <a:cs typeface="Calibri"/>
              </a:endParaRPr>
            </a:p>
          </xdr:txBody>
        </xdr:sp>
        <xdr:sp macro="" textlink="'Analysis 1'!AF4">
          <xdr:nvSpPr>
            <xdr:cNvPr id="132" name="Shape 40">
              <a:extLst>
                <a:ext uri="{FF2B5EF4-FFF2-40B4-BE49-F238E27FC236}">
                  <a16:creationId xmlns:a16="http://schemas.microsoft.com/office/drawing/2014/main" id="{28A4CF6B-13BA-F05C-D5A8-7E130B962B7C}"/>
                </a:ext>
              </a:extLst>
            </xdr:cNvPr>
            <xdr:cNvSpPr txBox="1"/>
          </xdr:nvSpPr>
          <xdr:spPr>
            <a:xfrm>
              <a:off x="5646154" y="5639651"/>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298B7756-4B97-4065-A5CB-9120C6A1DF76}"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33.8%</a:t>
              </a:fld>
              <a:endParaRPr lang="en-US" b="1" i="0" u="none" strike="noStrike">
                <a:solidFill>
                  <a:schemeClr val="accent1">
                    <a:lumMod val="40000"/>
                    <a:lumOff val="60000"/>
                  </a:schemeClr>
                </a:solidFill>
                <a:latin typeface="Calibri"/>
                <a:ea typeface="Calibri"/>
                <a:cs typeface="Calibri"/>
              </a:endParaRPr>
            </a:p>
          </xdr:txBody>
        </xdr:sp>
        <xdr:sp macro="" textlink="'Analysis 1'!AF5">
          <xdr:nvSpPr>
            <xdr:cNvPr id="133" name="Shape 41">
              <a:extLst>
                <a:ext uri="{FF2B5EF4-FFF2-40B4-BE49-F238E27FC236}">
                  <a16:creationId xmlns:a16="http://schemas.microsoft.com/office/drawing/2014/main" id="{94F63C42-B158-CD47-FA2E-4C0E52FF274C}"/>
                </a:ext>
              </a:extLst>
            </xdr:cNvPr>
            <xdr:cNvSpPr txBox="1"/>
          </xdr:nvSpPr>
          <xdr:spPr>
            <a:xfrm>
              <a:off x="5646154" y="5946081"/>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3B820F97-EA0E-4507-AF07-E6592F98F84A}"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48.3%</a:t>
              </a:fld>
              <a:endParaRPr lang="en-US" b="1" i="0" u="none" strike="noStrike">
                <a:solidFill>
                  <a:schemeClr val="accent1">
                    <a:lumMod val="40000"/>
                    <a:lumOff val="60000"/>
                  </a:schemeClr>
                </a:solidFill>
                <a:latin typeface="Calibri"/>
                <a:ea typeface="Calibri"/>
                <a:cs typeface="Calibri"/>
              </a:endParaRPr>
            </a:p>
          </xdr:txBody>
        </xdr:sp>
        <xdr:sp macro="" textlink="'Analysis 1'!AF6">
          <xdr:nvSpPr>
            <xdr:cNvPr id="134" name="Shape 42">
              <a:extLst>
                <a:ext uri="{FF2B5EF4-FFF2-40B4-BE49-F238E27FC236}">
                  <a16:creationId xmlns:a16="http://schemas.microsoft.com/office/drawing/2014/main" id="{39296C89-CB46-5CB7-A621-5FE655252C5B}"/>
                </a:ext>
              </a:extLst>
            </xdr:cNvPr>
            <xdr:cNvSpPr txBox="1"/>
          </xdr:nvSpPr>
          <xdr:spPr>
            <a:xfrm>
              <a:off x="5646154" y="6240385"/>
              <a:ext cx="457200" cy="295275"/>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E90AC351-5AF9-4572-B772-1F977714F256}"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17.9%</a:t>
              </a:fld>
              <a:endParaRPr lang="en-US" b="1" i="0" u="none" strike="noStrike">
                <a:solidFill>
                  <a:schemeClr val="accent1">
                    <a:lumMod val="40000"/>
                    <a:lumOff val="60000"/>
                  </a:schemeClr>
                </a:solidFill>
                <a:latin typeface="Calibri"/>
                <a:ea typeface="Calibri"/>
                <a:cs typeface="Calibri"/>
              </a:endParaRPr>
            </a:p>
          </xdr:txBody>
        </xdr:sp>
      </xdr:grpSp>
    </xdr:grpSp>
    <xdr:clientData fLocksWithSheet="0"/>
  </xdr:twoCellAnchor>
  <xdr:twoCellAnchor editAs="absolute">
    <xdr:from>
      <xdr:col>7</xdr:col>
      <xdr:colOff>1112489</xdr:colOff>
      <xdr:row>29</xdr:row>
      <xdr:rowOff>125449</xdr:rowOff>
    </xdr:from>
    <xdr:to>
      <xdr:col>7</xdr:col>
      <xdr:colOff>1822741</xdr:colOff>
      <xdr:row>31</xdr:row>
      <xdr:rowOff>64093</xdr:rowOff>
    </xdr:to>
    <xdr:sp macro="" textlink="">
      <xdr:nvSpPr>
        <xdr:cNvPr id="135" name="Shape 117">
          <a:extLst>
            <a:ext uri="{FF2B5EF4-FFF2-40B4-BE49-F238E27FC236}">
              <a16:creationId xmlns:a16="http://schemas.microsoft.com/office/drawing/2014/main" id="{4A7B9B96-26E3-45B1-EF66-3DBC251F145F}"/>
            </a:ext>
          </a:extLst>
        </xdr:cNvPr>
        <xdr:cNvSpPr txBox="1"/>
      </xdr:nvSpPr>
      <xdr:spPr>
        <a:xfrm>
          <a:off x="5546604" y="5619106"/>
          <a:ext cx="71437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595959"/>
              </a:solidFill>
              <a:latin typeface="Calibri"/>
              <a:ea typeface="Calibri"/>
              <a:cs typeface="Calibri"/>
              <a:sym typeface="Calibri"/>
            </a:rPr>
            <a:t>Legend</a:t>
          </a:r>
          <a:endParaRPr sz="1100" b="0">
            <a:solidFill>
              <a:srgbClr val="595959"/>
            </a:solidFill>
            <a:latin typeface="Calibri"/>
            <a:ea typeface="Calibri"/>
            <a:cs typeface="Calibri"/>
            <a:sym typeface="Calibri"/>
          </a:endParaRPr>
        </a:p>
      </xdr:txBody>
    </xdr:sp>
    <xdr:clientData fLocksWithSheet="0"/>
  </xdr:twoCellAnchor>
  <xdr:twoCellAnchor editAs="absolute">
    <xdr:from>
      <xdr:col>7</xdr:col>
      <xdr:colOff>1502228</xdr:colOff>
      <xdr:row>25</xdr:row>
      <xdr:rowOff>130628</xdr:rowOff>
    </xdr:from>
    <xdr:to>
      <xdr:col>7</xdr:col>
      <xdr:colOff>1568903</xdr:colOff>
      <xdr:row>26</xdr:row>
      <xdr:rowOff>15874</xdr:rowOff>
    </xdr:to>
    <xdr:sp macro="" textlink="">
      <xdr:nvSpPr>
        <xdr:cNvPr id="136" name="Shape 103">
          <a:extLst>
            <a:ext uri="{FF2B5EF4-FFF2-40B4-BE49-F238E27FC236}">
              <a16:creationId xmlns:a16="http://schemas.microsoft.com/office/drawing/2014/main" id="{803612CE-84CD-424A-8231-C97BF54DA2C7}"/>
            </a:ext>
          </a:extLst>
        </xdr:cNvPr>
        <xdr:cNvSpPr/>
      </xdr:nvSpPr>
      <xdr:spPr>
        <a:xfrm>
          <a:off x="5936343" y="4884057"/>
          <a:ext cx="66675" cy="66675"/>
        </a:xfrm>
        <a:prstGeom prst="ellipse">
          <a:avLst/>
        </a:prstGeom>
        <a:solidFill>
          <a:schemeClr val="lt1"/>
        </a:solidFill>
        <a:ln w="12700" cap="flat" cmpd="sng">
          <a:solidFill>
            <a:schemeClr val="lt1"/>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twoCellAnchor>
  <xdr:twoCellAnchor editAs="absolute">
    <xdr:from>
      <xdr:col>3</xdr:col>
      <xdr:colOff>372565</xdr:colOff>
      <xdr:row>22</xdr:row>
      <xdr:rowOff>116113</xdr:rowOff>
    </xdr:from>
    <xdr:to>
      <xdr:col>7</xdr:col>
      <xdr:colOff>53249</xdr:colOff>
      <xdr:row>29</xdr:row>
      <xdr:rowOff>47170</xdr:rowOff>
    </xdr:to>
    <xdr:graphicFrame macro="">
      <xdr:nvGraphicFramePr>
        <xdr:cNvPr id="137" name="Chart 136">
          <a:extLst>
            <a:ext uri="{FF2B5EF4-FFF2-40B4-BE49-F238E27FC236}">
              <a16:creationId xmlns:a16="http://schemas.microsoft.com/office/drawing/2014/main" id="{B3FC9C10-0F07-44BF-90BB-5693B8A583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5</xdr:col>
      <xdr:colOff>260194</xdr:colOff>
      <xdr:row>25</xdr:row>
      <xdr:rowOff>139833</xdr:rowOff>
    </xdr:from>
    <xdr:to>
      <xdr:col>5</xdr:col>
      <xdr:colOff>326869</xdr:colOff>
      <xdr:row>26</xdr:row>
      <xdr:rowOff>25079</xdr:rowOff>
    </xdr:to>
    <xdr:sp macro="" textlink="">
      <xdr:nvSpPr>
        <xdr:cNvPr id="138" name="Shape 103">
          <a:extLst>
            <a:ext uri="{FF2B5EF4-FFF2-40B4-BE49-F238E27FC236}">
              <a16:creationId xmlns:a16="http://schemas.microsoft.com/office/drawing/2014/main" id="{D32EBFAF-F40C-4428-87E3-4B015FE5F401}"/>
            </a:ext>
          </a:extLst>
        </xdr:cNvPr>
        <xdr:cNvSpPr/>
      </xdr:nvSpPr>
      <xdr:spPr>
        <a:xfrm>
          <a:off x="3311292" y="4835293"/>
          <a:ext cx="66675" cy="66675"/>
        </a:xfrm>
        <a:prstGeom prst="ellipse">
          <a:avLst/>
        </a:prstGeom>
        <a:solidFill>
          <a:schemeClr val="lt1"/>
        </a:solidFill>
        <a:ln w="12700" cap="flat" cmpd="sng">
          <a:solidFill>
            <a:schemeClr val="lt1"/>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twoCellAnchor>
  <xdr:twoCellAnchor editAs="absolute">
    <xdr:from>
      <xdr:col>4</xdr:col>
      <xdr:colOff>373785</xdr:colOff>
      <xdr:row>23</xdr:row>
      <xdr:rowOff>17968</xdr:rowOff>
    </xdr:from>
    <xdr:to>
      <xdr:col>6</xdr:col>
      <xdr:colOff>215313</xdr:colOff>
      <xdr:row>28</xdr:row>
      <xdr:rowOff>145317</xdr:rowOff>
    </xdr:to>
    <xdr:sp macro="" textlink="">
      <xdr:nvSpPr>
        <xdr:cNvPr id="139" name="Oval 138">
          <a:extLst>
            <a:ext uri="{FF2B5EF4-FFF2-40B4-BE49-F238E27FC236}">
              <a16:creationId xmlns:a16="http://schemas.microsoft.com/office/drawing/2014/main" id="{41761A73-AF5A-E46C-B833-4C53453E7FE7}"/>
            </a:ext>
          </a:extLst>
        </xdr:cNvPr>
        <xdr:cNvSpPr/>
      </xdr:nvSpPr>
      <xdr:spPr>
        <a:xfrm>
          <a:off x="2806838" y="4368434"/>
          <a:ext cx="1058054" cy="1048815"/>
        </a:xfrm>
        <a:prstGeom prst="ellipse">
          <a:avLst/>
        </a:prstGeom>
        <a:noFill/>
        <a:ln w="15875">
          <a:solidFill>
            <a:schemeClr val="bg1">
              <a:lumMod val="5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85402</xdr:colOff>
      <xdr:row>24</xdr:row>
      <xdr:rowOff>148852</xdr:rowOff>
    </xdr:from>
    <xdr:to>
      <xdr:col>5</xdr:col>
      <xdr:colOff>503696</xdr:colOff>
      <xdr:row>27</xdr:row>
      <xdr:rowOff>14433</xdr:rowOff>
    </xdr:to>
    <xdr:sp macro="" textlink="">
      <xdr:nvSpPr>
        <xdr:cNvPr id="140" name="Oval 139">
          <a:extLst>
            <a:ext uri="{FF2B5EF4-FFF2-40B4-BE49-F238E27FC236}">
              <a16:creationId xmlns:a16="http://schemas.microsoft.com/office/drawing/2014/main" id="{8DCEFDC8-6768-A252-D430-4B6E468D8818}"/>
            </a:ext>
          </a:extLst>
        </xdr:cNvPr>
        <xdr:cNvSpPr/>
      </xdr:nvSpPr>
      <xdr:spPr>
        <a:xfrm>
          <a:off x="3126718" y="4685521"/>
          <a:ext cx="418294" cy="414641"/>
        </a:xfrm>
        <a:prstGeom prst="ellipse">
          <a:avLst/>
        </a:prstGeom>
        <a:noFill/>
        <a:ln w="22225">
          <a:solidFill>
            <a:schemeClr val="bg1">
              <a:lumMod val="50000"/>
              <a:alpha val="8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163762</xdr:colOff>
      <xdr:row>30</xdr:row>
      <xdr:rowOff>158239</xdr:rowOff>
    </xdr:from>
    <xdr:to>
      <xdr:col>6</xdr:col>
      <xdr:colOff>454418</xdr:colOff>
      <xdr:row>31</xdr:row>
      <xdr:rowOff>81585</xdr:rowOff>
    </xdr:to>
    <xdr:grpSp>
      <xdr:nvGrpSpPr>
        <xdr:cNvPr id="141" name="Shape 2">
          <a:extLst>
            <a:ext uri="{FF2B5EF4-FFF2-40B4-BE49-F238E27FC236}">
              <a16:creationId xmlns:a16="http://schemas.microsoft.com/office/drawing/2014/main" id="{CD5AFD2A-5D67-432A-B097-DD458E1FA4EC}"/>
            </a:ext>
          </a:extLst>
        </xdr:cNvPr>
        <xdr:cNvGrpSpPr/>
      </xdr:nvGrpSpPr>
      <xdr:grpSpPr>
        <a:xfrm>
          <a:off x="2594905" y="5728096"/>
          <a:ext cx="1506227" cy="104775"/>
          <a:chOff x="4588763" y="3727613"/>
          <a:chExt cx="1514475" cy="104775"/>
        </a:xfrm>
      </xdr:grpSpPr>
      <xdr:grpSp>
        <xdr:nvGrpSpPr>
          <xdr:cNvPr id="142" name="Shape 62">
            <a:extLst>
              <a:ext uri="{FF2B5EF4-FFF2-40B4-BE49-F238E27FC236}">
                <a16:creationId xmlns:a16="http://schemas.microsoft.com/office/drawing/2014/main" id="{8F48DD5C-E8BA-DC83-C598-0E6DA776255E}"/>
              </a:ext>
            </a:extLst>
          </xdr:cNvPr>
          <xdr:cNvGrpSpPr/>
        </xdr:nvGrpSpPr>
        <xdr:grpSpPr>
          <a:xfrm>
            <a:off x="4588763" y="3727613"/>
            <a:ext cx="1514475" cy="104775"/>
            <a:chOff x="2386014" y="5910263"/>
            <a:chExt cx="1571625" cy="95250"/>
          </a:xfrm>
        </xdr:grpSpPr>
        <xdr:sp macro="" textlink="">
          <xdr:nvSpPr>
            <xdr:cNvPr id="143" name="Shape 39">
              <a:extLst>
                <a:ext uri="{FF2B5EF4-FFF2-40B4-BE49-F238E27FC236}">
                  <a16:creationId xmlns:a16="http://schemas.microsoft.com/office/drawing/2014/main" id="{85F92D60-A014-DF5C-8193-656CA02E0D23}"/>
                </a:ext>
              </a:extLst>
            </xdr:cNvPr>
            <xdr:cNvSpPr/>
          </xdr:nvSpPr>
          <xdr:spPr>
            <a:xfrm>
              <a:off x="2386014" y="5910263"/>
              <a:ext cx="1571625" cy="952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44" name="Shape 63">
              <a:extLst>
                <a:ext uri="{FF2B5EF4-FFF2-40B4-BE49-F238E27FC236}">
                  <a16:creationId xmlns:a16="http://schemas.microsoft.com/office/drawing/2014/main" id="{681814F1-A5A6-8FE2-6441-A843DBC28305}"/>
                </a:ext>
              </a:extLst>
            </xdr:cNvPr>
            <xdr:cNvSpPr/>
          </xdr:nvSpPr>
          <xdr:spPr>
            <a:xfrm rot="5400000">
              <a:off x="3862389" y="5910263"/>
              <a:ext cx="95250" cy="95250"/>
            </a:xfrm>
            <a:prstGeom prst="roundRect">
              <a:avLst>
                <a:gd name="adj" fmla="val 30303"/>
              </a:avLst>
            </a:prstGeom>
            <a:solidFill>
              <a:srgbClr val="758A33"/>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5" name="Shape 64">
              <a:extLst>
                <a:ext uri="{FF2B5EF4-FFF2-40B4-BE49-F238E27FC236}">
                  <a16:creationId xmlns:a16="http://schemas.microsoft.com/office/drawing/2014/main" id="{F8EF530C-0732-C724-E913-F1542C053B2B}"/>
                </a:ext>
              </a:extLst>
            </xdr:cNvPr>
            <xdr:cNvSpPr/>
          </xdr:nvSpPr>
          <xdr:spPr>
            <a:xfrm rot="5400000">
              <a:off x="3124201" y="5910263"/>
              <a:ext cx="95250" cy="95250"/>
            </a:xfrm>
            <a:prstGeom prst="roundRect">
              <a:avLst>
                <a:gd name="adj" fmla="val 30303"/>
              </a:avLst>
            </a:prstGeom>
            <a:solidFill>
              <a:srgbClr val="39365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6" name="Shape 65">
              <a:extLst>
                <a:ext uri="{FF2B5EF4-FFF2-40B4-BE49-F238E27FC236}">
                  <a16:creationId xmlns:a16="http://schemas.microsoft.com/office/drawing/2014/main" id="{B7A6876E-A07C-B75B-04AB-F82C3A546383}"/>
                </a:ext>
              </a:extLst>
            </xdr:cNvPr>
            <xdr:cNvSpPr/>
          </xdr:nvSpPr>
          <xdr:spPr>
            <a:xfrm rot="5400000">
              <a:off x="2386014" y="5910263"/>
              <a:ext cx="95250" cy="95250"/>
            </a:xfrm>
            <a:prstGeom prst="roundRect">
              <a:avLst>
                <a:gd name="adj" fmla="val 30303"/>
              </a:avLst>
            </a:prstGeom>
            <a:solidFill>
              <a:srgbClr val="91331D"/>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clientData fLocksWithSheet="0"/>
  </xdr:twoCellAnchor>
  <xdr:twoCellAnchor editAs="absolute">
    <xdr:from>
      <xdr:col>4</xdr:col>
      <xdr:colOff>461878</xdr:colOff>
      <xdr:row>28</xdr:row>
      <xdr:rowOff>169015</xdr:rowOff>
    </xdr:from>
    <xdr:to>
      <xdr:col>6</xdr:col>
      <xdr:colOff>123884</xdr:colOff>
      <xdr:row>30</xdr:row>
      <xdr:rowOff>107660</xdr:rowOff>
    </xdr:to>
    <xdr:sp macro="" textlink="">
      <xdr:nvSpPr>
        <xdr:cNvPr id="147" name="Shape 66">
          <a:extLst>
            <a:ext uri="{FF2B5EF4-FFF2-40B4-BE49-F238E27FC236}">
              <a16:creationId xmlns:a16="http://schemas.microsoft.com/office/drawing/2014/main" id="{2228C0C2-D19C-4783-A0F4-9126296DAFB4}"/>
            </a:ext>
          </a:extLst>
        </xdr:cNvPr>
        <xdr:cNvSpPr txBox="1"/>
      </xdr:nvSpPr>
      <xdr:spPr>
        <a:xfrm>
          <a:off x="2894931" y="5440947"/>
          <a:ext cx="885825"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595959"/>
              </a:solidFill>
              <a:latin typeface="Calibri"/>
              <a:ea typeface="Calibri"/>
              <a:cs typeface="Calibri"/>
              <a:sym typeface="Calibri"/>
            </a:rPr>
            <a:t>Legend</a:t>
          </a:r>
          <a:endParaRPr sz="1400"/>
        </a:p>
      </xdr:txBody>
    </xdr:sp>
    <xdr:clientData fLocksWithSheet="0"/>
  </xdr:twoCellAnchor>
  <xdr:twoCellAnchor editAs="absolute">
    <xdr:from>
      <xdr:col>5</xdr:col>
      <xdr:colOff>14203</xdr:colOff>
      <xdr:row>31</xdr:row>
      <xdr:rowOff>71134</xdr:rowOff>
    </xdr:from>
    <xdr:to>
      <xdr:col>6</xdr:col>
      <xdr:colOff>36459</xdr:colOff>
      <xdr:row>33</xdr:row>
      <xdr:rowOff>25529</xdr:rowOff>
    </xdr:to>
    <xdr:sp macro="" textlink="">
      <xdr:nvSpPr>
        <xdr:cNvPr id="151" name="Shape 70">
          <a:extLst>
            <a:ext uri="{FF2B5EF4-FFF2-40B4-BE49-F238E27FC236}">
              <a16:creationId xmlns:a16="http://schemas.microsoft.com/office/drawing/2014/main" id="{6B65F021-2DFE-4A82-9FE4-CCD8EA731353}"/>
            </a:ext>
          </a:extLst>
        </xdr:cNvPr>
        <xdr:cNvSpPr txBox="1"/>
      </xdr:nvSpPr>
      <xdr:spPr>
        <a:xfrm>
          <a:off x="3067088" y="5946629"/>
          <a:ext cx="634166"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i="0" u="none" strike="noStrike">
              <a:solidFill>
                <a:schemeClr val="accent1">
                  <a:lumMod val="60000"/>
                  <a:lumOff val="40000"/>
                </a:schemeClr>
              </a:solidFill>
              <a:latin typeface="Calibri"/>
              <a:ea typeface="Calibri"/>
              <a:cs typeface="Calibri"/>
            </a:rPr>
            <a:t>Muslim</a:t>
          </a:r>
          <a:endParaRPr sz="1100" b="1" i="0" u="none" strike="noStrike">
            <a:solidFill>
              <a:schemeClr val="accent1">
                <a:lumMod val="60000"/>
                <a:lumOff val="40000"/>
              </a:schemeClr>
            </a:solidFill>
            <a:latin typeface="Calibri"/>
            <a:ea typeface="Calibri"/>
            <a:cs typeface="Calibri"/>
            <a:sym typeface="Calibri"/>
          </a:endParaRPr>
        </a:p>
      </xdr:txBody>
    </xdr:sp>
    <xdr:clientData/>
  </xdr:twoCellAnchor>
  <xdr:twoCellAnchor editAs="absolute">
    <xdr:from>
      <xdr:col>3</xdr:col>
      <xdr:colOff>528053</xdr:colOff>
      <xdr:row>31</xdr:row>
      <xdr:rowOff>71134</xdr:rowOff>
    </xdr:from>
    <xdr:to>
      <xdr:col>4</xdr:col>
      <xdr:colOff>554487</xdr:colOff>
      <xdr:row>33</xdr:row>
      <xdr:rowOff>25529</xdr:rowOff>
    </xdr:to>
    <xdr:sp macro="" textlink="">
      <xdr:nvSpPr>
        <xdr:cNvPr id="152" name="Shape 71">
          <a:extLst>
            <a:ext uri="{FF2B5EF4-FFF2-40B4-BE49-F238E27FC236}">
              <a16:creationId xmlns:a16="http://schemas.microsoft.com/office/drawing/2014/main" id="{B2D105C3-EA87-4643-9251-EBFDAF610DBC}"/>
            </a:ext>
          </a:extLst>
        </xdr:cNvPr>
        <xdr:cNvSpPr txBox="1"/>
      </xdr:nvSpPr>
      <xdr:spPr>
        <a:xfrm>
          <a:off x="2359784" y="5946629"/>
          <a:ext cx="638343"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i="0" u="none" strike="noStrike">
              <a:solidFill>
                <a:schemeClr val="accent1">
                  <a:lumMod val="60000"/>
                  <a:lumOff val="40000"/>
                </a:schemeClr>
              </a:solidFill>
              <a:latin typeface="Calibri"/>
              <a:ea typeface="Calibri"/>
              <a:cs typeface="Calibri"/>
            </a:rPr>
            <a:t>Hindu </a:t>
          </a:r>
          <a:endParaRPr sz="1100" b="1" i="0" u="none" strike="noStrike">
            <a:solidFill>
              <a:schemeClr val="accent1">
                <a:lumMod val="60000"/>
                <a:lumOff val="40000"/>
              </a:schemeClr>
            </a:solidFill>
            <a:latin typeface="Calibri"/>
            <a:ea typeface="Calibri"/>
            <a:cs typeface="Calibri"/>
            <a:sym typeface="Calibri"/>
          </a:endParaRPr>
        </a:p>
      </xdr:txBody>
    </xdr:sp>
    <xdr:clientData/>
  </xdr:twoCellAnchor>
  <xdr:twoCellAnchor editAs="absolute">
    <xdr:from>
      <xdr:col>6</xdr:col>
      <xdr:colOff>48883</xdr:colOff>
      <xdr:row>31</xdr:row>
      <xdr:rowOff>74476</xdr:rowOff>
    </xdr:from>
    <xdr:to>
      <xdr:col>7</xdr:col>
      <xdr:colOff>26912</xdr:colOff>
      <xdr:row>33</xdr:row>
      <xdr:rowOff>9821</xdr:rowOff>
    </xdr:to>
    <xdr:sp macro="" textlink="">
      <xdr:nvSpPr>
        <xdr:cNvPr id="153" name="Shape 72">
          <a:extLst>
            <a:ext uri="{FF2B5EF4-FFF2-40B4-BE49-F238E27FC236}">
              <a16:creationId xmlns:a16="http://schemas.microsoft.com/office/drawing/2014/main" id="{C66AC6A7-3077-49F0-B3E6-9A362EA4D3EF}"/>
            </a:ext>
          </a:extLst>
        </xdr:cNvPr>
        <xdr:cNvSpPr txBox="1"/>
      </xdr:nvSpPr>
      <xdr:spPr>
        <a:xfrm>
          <a:off x="3712345" y="5949971"/>
          <a:ext cx="753224"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i="0" u="none" strike="noStrike">
              <a:solidFill>
                <a:schemeClr val="accent1">
                  <a:lumMod val="60000"/>
                  <a:lumOff val="40000"/>
                </a:schemeClr>
              </a:solidFill>
              <a:latin typeface="Calibri"/>
              <a:ea typeface="Calibri"/>
              <a:cs typeface="Calibri"/>
            </a:rPr>
            <a:t>Christian </a:t>
          </a:r>
          <a:endParaRPr sz="1100" b="1" i="0" u="none" strike="noStrike">
            <a:solidFill>
              <a:schemeClr val="accent1">
                <a:lumMod val="60000"/>
                <a:lumOff val="40000"/>
              </a:schemeClr>
            </a:solidFill>
            <a:latin typeface="Calibri"/>
            <a:ea typeface="Calibri"/>
            <a:cs typeface="Calibri"/>
            <a:sym typeface="Calibri"/>
          </a:endParaRPr>
        </a:p>
      </xdr:txBody>
    </xdr:sp>
    <xdr:clientData/>
  </xdr:twoCellAnchor>
  <xdr:twoCellAnchor editAs="absolute">
    <xdr:from>
      <xdr:col>5</xdr:col>
      <xdr:colOff>17545</xdr:colOff>
      <xdr:row>33</xdr:row>
      <xdr:rowOff>5835</xdr:rowOff>
    </xdr:from>
    <xdr:to>
      <xdr:col>6</xdr:col>
      <xdr:colOff>39801</xdr:colOff>
      <xdr:row>34</xdr:row>
      <xdr:rowOff>141661</xdr:rowOff>
    </xdr:to>
    <xdr:sp macro="" textlink="'Analysis 1'!AI6">
      <xdr:nvSpPr>
        <xdr:cNvPr id="154" name="Shape 70">
          <a:extLst>
            <a:ext uri="{FF2B5EF4-FFF2-40B4-BE49-F238E27FC236}">
              <a16:creationId xmlns:a16="http://schemas.microsoft.com/office/drawing/2014/main" id="{6A9E3E95-8235-B27D-55FF-6A672017C122}"/>
            </a:ext>
          </a:extLst>
        </xdr:cNvPr>
        <xdr:cNvSpPr txBox="1"/>
      </xdr:nvSpPr>
      <xdr:spPr>
        <a:xfrm>
          <a:off x="3070430" y="6252561"/>
          <a:ext cx="634166"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04590DC7-D5DA-46CA-87D1-34BC7F4F4232}"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98</a:t>
          </a:fld>
          <a:endParaRPr sz="1100" b="1" i="0" u="none" strike="noStrike">
            <a:solidFill>
              <a:schemeClr val="accent1">
                <a:lumMod val="40000"/>
                <a:lumOff val="60000"/>
              </a:schemeClr>
            </a:solidFill>
            <a:latin typeface="Calibri"/>
            <a:ea typeface="Calibri"/>
            <a:cs typeface="Calibri"/>
            <a:sym typeface="Calibri"/>
          </a:endParaRPr>
        </a:p>
      </xdr:txBody>
    </xdr:sp>
    <xdr:clientData/>
  </xdr:twoCellAnchor>
  <xdr:twoCellAnchor editAs="absolute">
    <xdr:from>
      <xdr:col>3</xdr:col>
      <xdr:colOff>531395</xdr:colOff>
      <xdr:row>33</xdr:row>
      <xdr:rowOff>5835</xdr:rowOff>
    </xdr:from>
    <xdr:to>
      <xdr:col>4</xdr:col>
      <xdr:colOff>557829</xdr:colOff>
      <xdr:row>34</xdr:row>
      <xdr:rowOff>141661</xdr:rowOff>
    </xdr:to>
    <xdr:sp macro="" textlink="'Analysis 1'!AI5">
      <xdr:nvSpPr>
        <xdr:cNvPr id="155" name="Shape 71">
          <a:extLst>
            <a:ext uri="{FF2B5EF4-FFF2-40B4-BE49-F238E27FC236}">
              <a16:creationId xmlns:a16="http://schemas.microsoft.com/office/drawing/2014/main" id="{B58B20B0-C22E-8E16-C6FC-9FF93B07EC9A}"/>
            </a:ext>
          </a:extLst>
        </xdr:cNvPr>
        <xdr:cNvSpPr txBox="1"/>
      </xdr:nvSpPr>
      <xdr:spPr>
        <a:xfrm>
          <a:off x="2363126" y="6252561"/>
          <a:ext cx="638343"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31B34B17-7DE8-4DB0-AF47-6590F56F179E}"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26</a:t>
          </a:fld>
          <a:endParaRPr sz="1100" b="1" i="0" u="none" strike="noStrike">
            <a:solidFill>
              <a:schemeClr val="accent1">
                <a:lumMod val="40000"/>
                <a:lumOff val="60000"/>
              </a:schemeClr>
            </a:solidFill>
            <a:latin typeface="Calibri"/>
            <a:ea typeface="Calibri"/>
            <a:cs typeface="Calibri"/>
            <a:sym typeface="Calibri"/>
          </a:endParaRPr>
        </a:p>
      </xdr:txBody>
    </xdr:sp>
    <xdr:clientData/>
  </xdr:twoCellAnchor>
  <xdr:twoCellAnchor editAs="absolute">
    <xdr:from>
      <xdr:col>6</xdr:col>
      <xdr:colOff>52225</xdr:colOff>
      <xdr:row>33</xdr:row>
      <xdr:rowOff>9177</xdr:rowOff>
    </xdr:from>
    <xdr:to>
      <xdr:col>7</xdr:col>
      <xdr:colOff>30254</xdr:colOff>
      <xdr:row>34</xdr:row>
      <xdr:rowOff>125953</xdr:rowOff>
    </xdr:to>
    <xdr:sp macro="" textlink="'Analysis 1'!AI4">
      <xdr:nvSpPr>
        <xdr:cNvPr id="156" name="Shape 72">
          <a:extLst>
            <a:ext uri="{FF2B5EF4-FFF2-40B4-BE49-F238E27FC236}">
              <a16:creationId xmlns:a16="http://schemas.microsoft.com/office/drawing/2014/main" id="{B371549F-E6CC-3689-02BA-FA7C7D539ED8}"/>
            </a:ext>
          </a:extLst>
        </xdr:cNvPr>
        <xdr:cNvSpPr txBox="1"/>
      </xdr:nvSpPr>
      <xdr:spPr>
        <a:xfrm>
          <a:off x="3715687" y="6255903"/>
          <a:ext cx="753224"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E8E41A97-BBE6-4A67-86F2-4A10E0E5811D}"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27</a:t>
          </a:fld>
          <a:endParaRPr sz="1100" b="1" i="0" u="none" strike="noStrike">
            <a:solidFill>
              <a:schemeClr val="accent1">
                <a:lumMod val="40000"/>
                <a:lumOff val="60000"/>
              </a:schemeClr>
            </a:solidFill>
            <a:latin typeface="Calibri"/>
            <a:ea typeface="Calibri"/>
            <a:cs typeface="Calibri"/>
            <a:sym typeface="Calibri"/>
          </a:endParaRPr>
        </a:p>
      </xdr:txBody>
    </xdr:sp>
    <xdr:clientData/>
  </xdr:twoCellAnchor>
  <xdr:twoCellAnchor editAs="absolute">
    <xdr:from>
      <xdr:col>5</xdr:col>
      <xdr:colOff>30914</xdr:colOff>
      <xdr:row>34</xdr:row>
      <xdr:rowOff>113739</xdr:rowOff>
    </xdr:from>
    <xdr:to>
      <xdr:col>6</xdr:col>
      <xdr:colOff>53170</xdr:colOff>
      <xdr:row>36</xdr:row>
      <xdr:rowOff>71431</xdr:rowOff>
    </xdr:to>
    <xdr:sp macro="" textlink="'Analysis 1'!AJ6">
      <xdr:nvSpPr>
        <xdr:cNvPr id="157" name="Shape 70">
          <a:extLst>
            <a:ext uri="{FF2B5EF4-FFF2-40B4-BE49-F238E27FC236}">
              <a16:creationId xmlns:a16="http://schemas.microsoft.com/office/drawing/2014/main" id="{E98E6FD0-1F3B-F17A-3A5A-57763C301906}"/>
            </a:ext>
          </a:extLst>
        </xdr:cNvPr>
        <xdr:cNvSpPr txBox="1"/>
      </xdr:nvSpPr>
      <xdr:spPr>
        <a:xfrm>
          <a:off x="3083799" y="6550266"/>
          <a:ext cx="634166"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29B59EC4-8DC3-4A2A-8649-8AA9F1F8C2F4}"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64.9%</a:t>
          </a:fld>
          <a:endParaRPr sz="1100" b="1" i="0" u="none" strike="noStrike">
            <a:solidFill>
              <a:schemeClr val="accent1">
                <a:lumMod val="40000"/>
                <a:lumOff val="60000"/>
              </a:schemeClr>
            </a:solidFill>
            <a:latin typeface="Calibri"/>
            <a:ea typeface="Calibri"/>
            <a:cs typeface="Calibri"/>
            <a:sym typeface="Calibri"/>
          </a:endParaRPr>
        </a:p>
      </xdr:txBody>
    </xdr:sp>
    <xdr:clientData/>
  </xdr:twoCellAnchor>
  <xdr:twoCellAnchor editAs="absolute">
    <xdr:from>
      <xdr:col>3</xdr:col>
      <xdr:colOff>544764</xdr:colOff>
      <xdr:row>34</xdr:row>
      <xdr:rowOff>113739</xdr:rowOff>
    </xdr:from>
    <xdr:to>
      <xdr:col>4</xdr:col>
      <xdr:colOff>571198</xdr:colOff>
      <xdr:row>36</xdr:row>
      <xdr:rowOff>71431</xdr:rowOff>
    </xdr:to>
    <xdr:sp macro="" textlink="'Analysis 1'!AJ5">
      <xdr:nvSpPr>
        <xdr:cNvPr id="158" name="Shape 71">
          <a:extLst>
            <a:ext uri="{FF2B5EF4-FFF2-40B4-BE49-F238E27FC236}">
              <a16:creationId xmlns:a16="http://schemas.microsoft.com/office/drawing/2014/main" id="{90F8A64D-F042-01DB-C073-BB0DC0A2F248}"/>
            </a:ext>
          </a:extLst>
        </xdr:cNvPr>
        <xdr:cNvSpPr txBox="1"/>
      </xdr:nvSpPr>
      <xdr:spPr>
        <a:xfrm>
          <a:off x="2376495" y="6550266"/>
          <a:ext cx="638343"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1F7FA40D-08E4-4F12-BEB8-406093D6FB3C}"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17.2%</a:t>
          </a:fld>
          <a:endParaRPr sz="1100" b="1" i="0" u="none" strike="noStrike">
            <a:solidFill>
              <a:schemeClr val="accent1">
                <a:lumMod val="40000"/>
                <a:lumOff val="60000"/>
              </a:schemeClr>
            </a:solidFill>
            <a:latin typeface="Calibri"/>
            <a:ea typeface="Calibri"/>
            <a:cs typeface="Calibri"/>
            <a:sym typeface="Calibri"/>
          </a:endParaRPr>
        </a:p>
      </xdr:txBody>
    </xdr:sp>
    <xdr:clientData/>
  </xdr:twoCellAnchor>
  <xdr:twoCellAnchor editAs="absolute">
    <xdr:from>
      <xdr:col>6</xdr:col>
      <xdr:colOff>65594</xdr:colOff>
      <xdr:row>34</xdr:row>
      <xdr:rowOff>117081</xdr:rowOff>
    </xdr:from>
    <xdr:to>
      <xdr:col>7</xdr:col>
      <xdr:colOff>43623</xdr:colOff>
      <xdr:row>36</xdr:row>
      <xdr:rowOff>55723</xdr:rowOff>
    </xdr:to>
    <xdr:sp macro="" textlink="'Analysis 1'!AJ4">
      <xdr:nvSpPr>
        <xdr:cNvPr id="159" name="Shape 72">
          <a:extLst>
            <a:ext uri="{FF2B5EF4-FFF2-40B4-BE49-F238E27FC236}">
              <a16:creationId xmlns:a16="http://schemas.microsoft.com/office/drawing/2014/main" id="{C303EF33-4A05-5EF0-D255-86CD7F764AB9}"/>
            </a:ext>
          </a:extLst>
        </xdr:cNvPr>
        <xdr:cNvSpPr txBox="1"/>
      </xdr:nvSpPr>
      <xdr:spPr>
        <a:xfrm>
          <a:off x="3729056" y="6553608"/>
          <a:ext cx="753224" cy="30480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22CB9F1E-1547-4912-A429-4CACE2D26658}" type="TxLink">
            <a:rPr lang="en-US" sz="1100" b="1" i="0" u="none" strike="noStrike">
              <a:solidFill>
                <a:schemeClr val="accent1">
                  <a:lumMod val="40000"/>
                  <a:lumOff val="60000"/>
                </a:schemeClr>
              </a:solidFill>
              <a:latin typeface="Calibri"/>
              <a:ea typeface="Calibri"/>
              <a:cs typeface="Calibri"/>
            </a:rPr>
            <a:pPr marL="0" lvl="0" indent="0" algn="ctr" rtl="0">
              <a:spcBef>
                <a:spcPts val="0"/>
              </a:spcBef>
              <a:spcAft>
                <a:spcPts val="0"/>
              </a:spcAft>
              <a:buNone/>
            </a:pPr>
            <a:t>17.9%</a:t>
          </a:fld>
          <a:endParaRPr sz="1100" b="1" i="0" u="none" strike="noStrike">
            <a:solidFill>
              <a:schemeClr val="accent1">
                <a:lumMod val="40000"/>
                <a:lumOff val="60000"/>
              </a:schemeClr>
            </a:solidFill>
            <a:latin typeface="Calibri"/>
            <a:ea typeface="Calibri"/>
            <a:cs typeface="Calibri"/>
            <a:sym typeface="Calibri"/>
          </a:endParaRPr>
        </a:p>
      </xdr:txBody>
    </xdr:sp>
    <xdr:clientData/>
  </xdr:twoCellAnchor>
  <xdr:twoCellAnchor editAs="absolute">
    <xdr:from>
      <xdr:col>7</xdr:col>
      <xdr:colOff>2946818</xdr:colOff>
      <xdr:row>21</xdr:row>
      <xdr:rowOff>160248</xdr:rowOff>
    </xdr:from>
    <xdr:to>
      <xdr:col>7</xdr:col>
      <xdr:colOff>3857094</xdr:colOff>
      <xdr:row>23</xdr:row>
      <xdr:rowOff>114644</xdr:rowOff>
    </xdr:to>
    <xdr:sp macro="" textlink="">
      <xdr:nvSpPr>
        <xdr:cNvPr id="160" name="Shape 123">
          <a:extLst>
            <a:ext uri="{FF2B5EF4-FFF2-40B4-BE49-F238E27FC236}">
              <a16:creationId xmlns:a16="http://schemas.microsoft.com/office/drawing/2014/main" id="{AF140432-F1C7-4BD9-B100-38EA2C9F452B}"/>
            </a:ext>
          </a:extLst>
        </xdr:cNvPr>
        <xdr:cNvSpPr txBox="1"/>
      </xdr:nvSpPr>
      <xdr:spPr>
        <a:xfrm>
          <a:off x="7370333" y="4145470"/>
          <a:ext cx="91440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A5A5A5"/>
              </a:solidFill>
              <a:latin typeface="Calibri"/>
              <a:ea typeface="Calibri"/>
              <a:cs typeface="Calibri"/>
              <a:sym typeface="Calibri"/>
            </a:rPr>
            <a:t>Designation</a:t>
          </a:r>
          <a:endParaRPr sz="1400"/>
        </a:p>
      </xdr:txBody>
    </xdr:sp>
    <xdr:clientData fLocksWithSheet="0"/>
  </xdr:twoCellAnchor>
  <xdr:twoCellAnchor editAs="absolute">
    <xdr:from>
      <xdr:col>10</xdr:col>
      <xdr:colOff>488446</xdr:colOff>
      <xdr:row>22</xdr:row>
      <xdr:rowOff>37546</xdr:rowOff>
    </xdr:from>
    <xdr:to>
      <xdr:col>12</xdr:col>
      <xdr:colOff>169503</xdr:colOff>
      <xdr:row>23</xdr:row>
      <xdr:rowOff>173371</xdr:rowOff>
    </xdr:to>
    <xdr:sp macro="" textlink="">
      <xdr:nvSpPr>
        <xdr:cNvPr id="161" name="Shape 124">
          <a:extLst>
            <a:ext uri="{FF2B5EF4-FFF2-40B4-BE49-F238E27FC236}">
              <a16:creationId xmlns:a16="http://schemas.microsoft.com/office/drawing/2014/main" id="{87A62BCB-BADC-43C1-9CAA-40507F09EDCB}"/>
            </a:ext>
          </a:extLst>
        </xdr:cNvPr>
        <xdr:cNvSpPr txBox="1"/>
      </xdr:nvSpPr>
      <xdr:spPr>
        <a:xfrm>
          <a:off x="10076946" y="4155975"/>
          <a:ext cx="904875"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A5A5A5"/>
              </a:solidFill>
              <a:latin typeface="Calibri"/>
              <a:ea typeface="Calibri"/>
              <a:cs typeface="Calibri"/>
              <a:sym typeface="Calibri"/>
            </a:rPr>
            <a:t>Cost Center</a:t>
          </a:r>
          <a:endParaRPr sz="1400"/>
        </a:p>
      </xdr:txBody>
    </xdr:sp>
    <xdr:clientData fLocksWithSheet="0"/>
  </xdr:twoCellAnchor>
  <xdr:twoCellAnchor editAs="absolute">
    <xdr:from>
      <xdr:col>7</xdr:col>
      <xdr:colOff>290286</xdr:colOff>
      <xdr:row>22</xdr:row>
      <xdr:rowOff>36285</xdr:rowOff>
    </xdr:from>
    <xdr:to>
      <xdr:col>7</xdr:col>
      <xdr:colOff>1215489</xdr:colOff>
      <xdr:row>23</xdr:row>
      <xdr:rowOff>172110</xdr:rowOff>
    </xdr:to>
    <xdr:sp macro="" textlink="">
      <xdr:nvSpPr>
        <xdr:cNvPr id="164" name="Shape 37">
          <a:extLst>
            <a:ext uri="{FF2B5EF4-FFF2-40B4-BE49-F238E27FC236}">
              <a16:creationId xmlns:a16="http://schemas.microsoft.com/office/drawing/2014/main" id="{72F4F4B9-D9FD-46E2-ABA2-B7901C0223BC}"/>
            </a:ext>
          </a:extLst>
        </xdr:cNvPr>
        <xdr:cNvSpPr txBox="1"/>
      </xdr:nvSpPr>
      <xdr:spPr>
        <a:xfrm>
          <a:off x="4708072" y="4154714"/>
          <a:ext cx="9334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A5A5A5"/>
              </a:solidFill>
              <a:latin typeface="Calibri"/>
              <a:ea typeface="Calibri"/>
              <a:cs typeface="Calibri"/>
              <a:sym typeface="Calibri"/>
            </a:rPr>
            <a:t>Age Groups</a:t>
          </a:r>
          <a:endParaRPr sz="1400"/>
        </a:p>
      </xdr:txBody>
    </xdr:sp>
    <xdr:clientData fLocksWithSheet="0"/>
  </xdr:twoCellAnchor>
  <xdr:twoCellAnchor editAs="absolute">
    <xdr:from>
      <xdr:col>3</xdr:col>
      <xdr:colOff>199572</xdr:colOff>
      <xdr:row>22</xdr:row>
      <xdr:rowOff>27214</xdr:rowOff>
    </xdr:from>
    <xdr:to>
      <xdr:col>4</xdr:col>
      <xdr:colOff>521113</xdr:colOff>
      <xdr:row>23</xdr:row>
      <xdr:rowOff>163039</xdr:rowOff>
    </xdr:to>
    <xdr:sp macro="" textlink="">
      <xdr:nvSpPr>
        <xdr:cNvPr id="165" name="Shape 37">
          <a:extLst>
            <a:ext uri="{FF2B5EF4-FFF2-40B4-BE49-F238E27FC236}">
              <a16:creationId xmlns:a16="http://schemas.microsoft.com/office/drawing/2014/main" id="{924328A7-A1A0-5666-EB6D-E5007F40BC26}"/>
            </a:ext>
          </a:extLst>
        </xdr:cNvPr>
        <xdr:cNvSpPr txBox="1"/>
      </xdr:nvSpPr>
      <xdr:spPr>
        <a:xfrm>
          <a:off x="2022929" y="4145643"/>
          <a:ext cx="933450" cy="32385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0">
              <a:solidFill>
                <a:srgbClr val="A5A5A5"/>
              </a:solidFill>
              <a:latin typeface="Calibri"/>
              <a:ea typeface="Calibri"/>
              <a:cs typeface="Calibri"/>
              <a:sym typeface="Calibri"/>
            </a:rPr>
            <a:t>Faith</a:t>
          </a:r>
          <a:endParaRPr sz="1400"/>
        </a:p>
      </xdr:txBody>
    </xdr:sp>
    <xdr:clientData fLocksWithSheet="0"/>
  </xdr:twoCellAnchor>
  <xdr:twoCellAnchor editAs="absolute">
    <xdr:from>
      <xdr:col>7</xdr:col>
      <xdr:colOff>3055672</xdr:colOff>
      <xdr:row>22</xdr:row>
      <xdr:rowOff>132252</xdr:rowOff>
    </xdr:from>
    <xdr:to>
      <xdr:col>10</xdr:col>
      <xdr:colOff>172358</xdr:colOff>
      <xdr:row>37</xdr:row>
      <xdr:rowOff>0</xdr:rowOff>
    </xdr:to>
    <xdr:graphicFrame macro="">
      <xdr:nvGraphicFramePr>
        <xdr:cNvPr id="71" name="Chart 70">
          <a:extLst>
            <a:ext uri="{FF2B5EF4-FFF2-40B4-BE49-F238E27FC236}">
              <a16:creationId xmlns:a16="http://schemas.microsoft.com/office/drawing/2014/main" id="{135AD966-AA16-4DD3-96FD-B8D86AC8C5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10</xdr:col>
      <xdr:colOff>541494</xdr:colOff>
      <xdr:row>24</xdr:row>
      <xdr:rowOff>1675</xdr:rowOff>
    </xdr:from>
    <xdr:to>
      <xdr:col>14</xdr:col>
      <xdr:colOff>375418</xdr:colOff>
      <xdr:row>35</xdr:row>
      <xdr:rowOff>177242</xdr:rowOff>
    </xdr:to>
    <xdr:graphicFrame macro="">
      <xdr:nvGraphicFramePr>
        <xdr:cNvPr id="74" name="Chart 73">
          <a:extLst>
            <a:ext uri="{FF2B5EF4-FFF2-40B4-BE49-F238E27FC236}">
              <a16:creationId xmlns:a16="http://schemas.microsoft.com/office/drawing/2014/main" id="{1038AC50-4F61-4AD8-A560-2CD7A6F8D9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7</xdr:col>
      <xdr:colOff>99392</xdr:colOff>
      <xdr:row>3</xdr:row>
      <xdr:rowOff>24177</xdr:rowOff>
    </xdr:from>
    <xdr:to>
      <xdr:col>7</xdr:col>
      <xdr:colOff>706783</xdr:colOff>
      <xdr:row>3</xdr:row>
      <xdr:rowOff>281613</xdr:rowOff>
    </xdr:to>
    <xdr:sp macro="" textlink="">
      <xdr:nvSpPr>
        <xdr:cNvPr id="78" name="Shape 155">
          <a:extLst>
            <a:ext uri="{FF2B5EF4-FFF2-40B4-BE49-F238E27FC236}">
              <a16:creationId xmlns:a16="http://schemas.microsoft.com/office/drawing/2014/main" id="{357E827D-1807-0D83-6236-E79D9D986E6E}"/>
            </a:ext>
          </a:extLst>
        </xdr:cNvPr>
        <xdr:cNvSpPr txBox="1"/>
      </xdr:nvSpPr>
      <xdr:spPr>
        <a:xfrm>
          <a:off x="4516783" y="565307"/>
          <a:ext cx="607391" cy="257436"/>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bg1"/>
              </a:solidFill>
              <a:latin typeface="Calibri"/>
              <a:ea typeface="Calibri"/>
              <a:cs typeface="Calibri"/>
              <a:sym typeface="Calibri"/>
            </a:rPr>
            <a:t>Search</a:t>
          </a:r>
          <a:endParaRPr sz="1400" b="1">
            <a:solidFill>
              <a:schemeClr val="bg1"/>
            </a:solidFill>
          </a:endParaRPr>
        </a:p>
      </xdr:txBody>
    </xdr:sp>
    <xdr:clientData fLocksWithSheet="0"/>
  </xdr:twoCellAnchor>
  <xdr:oneCellAnchor>
    <xdr:from>
      <xdr:col>7</xdr:col>
      <xdr:colOff>3695241</xdr:colOff>
      <xdr:row>3</xdr:row>
      <xdr:rowOff>66260</xdr:rowOff>
    </xdr:from>
    <xdr:ext cx="151361" cy="147957"/>
    <xdr:grpSp>
      <xdr:nvGrpSpPr>
        <xdr:cNvPr id="79" name="Shape 2" title="Drawing">
          <a:extLst>
            <a:ext uri="{FF2B5EF4-FFF2-40B4-BE49-F238E27FC236}">
              <a16:creationId xmlns:a16="http://schemas.microsoft.com/office/drawing/2014/main" id="{6E8511E9-9F27-402A-B647-065CB97E1611}"/>
            </a:ext>
          </a:extLst>
        </xdr:cNvPr>
        <xdr:cNvGrpSpPr/>
      </xdr:nvGrpSpPr>
      <xdr:grpSpPr>
        <a:xfrm>
          <a:off x="8113027" y="601474"/>
          <a:ext cx="151361" cy="147957"/>
          <a:chOff x="5279325" y="3722850"/>
          <a:chExt cx="133349" cy="114300"/>
        </a:xfrm>
      </xdr:grpSpPr>
      <xdr:grpSp>
        <xdr:nvGrpSpPr>
          <xdr:cNvPr id="80" name="Shape 148">
            <a:extLst>
              <a:ext uri="{FF2B5EF4-FFF2-40B4-BE49-F238E27FC236}">
                <a16:creationId xmlns:a16="http://schemas.microsoft.com/office/drawing/2014/main" id="{BF7958A2-7997-CA77-95F3-0BF27134E2FB}"/>
              </a:ext>
            </a:extLst>
          </xdr:cNvPr>
          <xdr:cNvGrpSpPr/>
        </xdr:nvGrpSpPr>
        <xdr:grpSpPr>
          <a:xfrm>
            <a:off x="5279325" y="3722850"/>
            <a:ext cx="133349" cy="114300"/>
            <a:chOff x="7314638" y="570377"/>
            <a:chExt cx="137793" cy="122041"/>
          </a:xfrm>
        </xdr:grpSpPr>
        <xdr:sp macro="" textlink="">
          <xdr:nvSpPr>
            <xdr:cNvPr id="81" name="Shape 39">
              <a:extLst>
                <a:ext uri="{FF2B5EF4-FFF2-40B4-BE49-F238E27FC236}">
                  <a16:creationId xmlns:a16="http://schemas.microsoft.com/office/drawing/2014/main" id="{A42787A5-4F6C-3A53-F9B7-CC0507B54FCC}"/>
                </a:ext>
              </a:extLst>
            </xdr:cNvPr>
            <xdr:cNvSpPr/>
          </xdr:nvSpPr>
          <xdr:spPr>
            <a:xfrm>
              <a:off x="7314638" y="570377"/>
              <a:ext cx="137775" cy="1220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2" name="Shape 149">
              <a:extLst>
                <a:ext uri="{FF2B5EF4-FFF2-40B4-BE49-F238E27FC236}">
                  <a16:creationId xmlns:a16="http://schemas.microsoft.com/office/drawing/2014/main" id="{DCD7AEA6-A182-7D97-0975-12DC045A042E}"/>
                </a:ext>
              </a:extLst>
            </xdr:cNvPr>
            <xdr:cNvSpPr/>
          </xdr:nvSpPr>
          <xdr:spPr>
            <a:xfrm>
              <a:off x="7314638" y="570377"/>
              <a:ext cx="94691" cy="94691"/>
            </a:xfrm>
            <a:prstGeom prst="ellipse">
              <a:avLst/>
            </a:prstGeom>
            <a:noFill/>
            <a:ln w="12700" cap="flat" cmpd="sng">
              <a:solidFill>
                <a:schemeClr val="lt1"/>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xnSp macro="">
          <xdr:nvCxnSpPr>
            <xdr:cNvPr id="102" name="Shape 150">
              <a:extLst>
                <a:ext uri="{FF2B5EF4-FFF2-40B4-BE49-F238E27FC236}">
                  <a16:creationId xmlns:a16="http://schemas.microsoft.com/office/drawing/2014/main" id="{D98E1CC7-7502-7621-97F2-EB6E1FF2217F}"/>
                </a:ext>
              </a:extLst>
            </xdr:cNvPr>
            <xdr:cNvCxnSpPr/>
          </xdr:nvCxnSpPr>
          <xdr:spPr>
            <a:xfrm>
              <a:off x="7404294" y="652025"/>
              <a:ext cx="48138" cy="40393"/>
            </a:xfrm>
            <a:prstGeom prst="straightConnector1">
              <a:avLst/>
            </a:prstGeom>
            <a:noFill/>
            <a:ln w="15875" cap="flat" cmpd="sng">
              <a:solidFill>
                <a:schemeClr val="lt1"/>
              </a:solidFill>
              <a:prstDash val="solid"/>
              <a:miter lim="800000"/>
              <a:headEnd type="none" w="sm" len="sm"/>
              <a:tailEnd type="none" w="sm" len="sm"/>
            </a:ln>
          </xdr:spPr>
        </xdr:cxnSp>
      </xdr:grpSp>
    </xdr:grpSp>
    <xdr:clientData fLocksWithSheet="0"/>
  </xdr:oneCellAnchor>
  <xdr:oneCellAnchor>
    <xdr:from>
      <xdr:col>1</xdr:col>
      <xdr:colOff>0</xdr:colOff>
      <xdr:row>2</xdr:row>
      <xdr:rowOff>12700</xdr:rowOff>
    </xdr:from>
    <xdr:ext cx="581025" cy="560989"/>
    <xdr:sp macro="" textlink="">
      <xdr:nvSpPr>
        <xdr:cNvPr id="103" name="Shape 125">
          <a:extLst>
            <a:ext uri="{FF2B5EF4-FFF2-40B4-BE49-F238E27FC236}">
              <a16:creationId xmlns:a16="http://schemas.microsoft.com/office/drawing/2014/main" id="{06EB35DA-F0D9-4E0C-B849-574E8C117597}"/>
            </a:ext>
          </a:extLst>
        </xdr:cNvPr>
        <xdr:cNvSpPr/>
      </xdr:nvSpPr>
      <xdr:spPr>
        <a:xfrm>
          <a:off x="608724" y="433114"/>
          <a:ext cx="581025" cy="560989"/>
        </a:xfrm>
        <a:prstGeom prst="ellipse">
          <a:avLst/>
        </a:prstGeom>
        <a:solidFill>
          <a:srgbClr val="141420"/>
        </a:solidFill>
        <a:ln w="15875" cap="flat" cmpd="sng">
          <a:solidFill>
            <a:srgbClr val="8296B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twoCellAnchor editAs="absolute">
    <xdr:from>
      <xdr:col>0</xdr:col>
      <xdr:colOff>568740</xdr:colOff>
      <xdr:row>3</xdr:row>
      <xdr:rowOff>4512</xdr:rowOff>
    </xdr:from>
    <xdr:to>
      <xdr:col>2</xdr:col>
      <xdr:colOff>33131</xdr:colOff>
      <xdr:row>3</xdr:row>
      <xdr:rowOff>316544</xdr:rowOff>
    </xdr:to>
    <xdr:sp macro="" textlink="'Search 1'!Q8">
      <xdr:nvSpPr>
        <xdr:cNvPr id="104" name="Shape 155">
          <a:extLst>
            <a:ext uri="{FF2B5EF4-FFF2-40B4-BE49-F238E27FC236}">
              <a16:creationId xmlns:a16="http://schemas.microsoft.com/office/drawing/2014/main" id="{E87720A6-EE68-BD3D-89C7-09D61E40D77A}"/>
            </a:ext>
          </a:extLst>
        </xdr:cNvPr>
        <xdr:cNvSpPr txBox="1"/>
      </xdr:nvSpPr>
      <xdr:spPr>
        <a:xfrm>
          <a:off x="568740" y="547546"/>
          <a:ext cx="681839" cy="312032"/>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48021C2-2DC4-4E82-BAE7-68C430C7974E}" type="TxLink">
            <a:rPr lang="en-US" sz="1200" b="1" i="0" u="none" strike="noStrike">
              <a:solidFill>
                <a:schemeClr val="bg1">
                  <a:lumMod val="75000"/>
                </a:schemeClr>
              </a:solidFill>
              <a:latin typeface="Calibri"/>
              <a:ea typeface="Calibri"/>
              <a:cs typeface="Calibri"/>
              <a:sym typeface="Calibri"/>
            </a:rPr>
            <a:pPr marL="0" lvl="0" indent="0" algn="ctr" rtl="0">
              <a:spcBef>
                <a:spcPts val="0"/>
              </a:spcBef>
              <a:spcAft>
                <a:spcPts val="0"/>
              </a:spcAft>
              <a:buNone/>
            </a:pPr>
            <a:t> </a:t>
          </a:fld>
          <a:endParaRPr sz="1600" b="1">
            <a:solidFill>
              <a:schemeClr val="bg1">
                <a:lumMod val="75000"/>
              </a:schemeClr>
            </a:solidFill>
          </a:endParaRPr>
        </a:p>
      </xdr:txBody>
    </xdr:sp>
    <xdr:clientData fLocksWithSheet="0"/>
  </xdr:twoCellAnchor>
  <xdr:twoCellAnchor editAs="absolute">
    <xdr:from>
      <xdr:col>0</xdr:col>
      <xdr:colOff>0</xdr:colOff>
      <xdr:row>9</xdr:row>
      <xdr:rowOff>35491</xdr:rowOff>
    </xdr:from>
    <xdr:to>
      <xdr:col>2</xdr:col>
      <xdr:colOff>590550</xdr:colOff>
      <xdr:row>10</xdr:row>
      <xdr:rowOff>167810</xdr:rowOff>
    </xdr:to>
    <xdr:sp macro="" textlink="'Search 1'!S7">
      <xdr:nvSpPr>
        <xdr:cNvPr id="107" name="Shape 155">
          <a:extLst>
            <a:ext uri="{FF2B5EF4-FFF2-40B4-BE49-F238E27FC236}">
              <a16:creationId xmlns:a16="http://schemas.microsoft.com/office/drawing/2014/main" id="{1C544DA4-D498-9AD6-218B-7BA859DDC854}"/>
            </a:ext>
          </a:extLst>
        </xdr:cNvPr>
        <xdr:cNvSpPr txBox="1"/>
      </xdr:nvSpPr>
      <xdr:spPr>
        <a:xfrm>
          <a:off x="0" y="1828432"/>
          <a:ext cx="1815726" cy="319084"/>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0F87C9E-5318-4E74-BF2F-C2414A069CB3}"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600" b="1" i="0">
            <a:solidFill>
              <a:schemeClr val="bg1">
                <a:lumMod val="85000"/>
              </a:schemeClr>
            </a:solidFill>
          </a:endParaRPr>
        </a:p>
      </xdr:txBody>
    </xdr:sp>
    <xdr:clientData fLocksWithSheet="0"/>
  </xdr:twoCellAnchor>
  <xdr:oneCellAnchor>
    <xdr:from>
      <xdr:col>1</xdr:col>
      <xdr:colOff>93870</xdr:colOff>
      <xdr:row>6</xdr:row>
      <xdr:rowOff>168841</xdr:rowOff>
    </xdr:from>
    <xdr:ext cx="390525" cy="38100"/>
    <xdr:grpSp>
      <xdr:nvGrpSpPr>
        <xdr:cNvPr id="118" name="Shape 2">
          <a:extLst>
            <a:ext uri="{FF2B5EF4-FFF2-40B4-BE49-F238E27FC236}">
              <a16:creationId xmlns:a16="http://schemas.microsoft.com/office/drawing/2014/main" id="{2658CC57-D6BA-4CD9-ABD1-9FE70E3C8E77}"/>
            </a:ext>
          </a:extLst>
        </xdr:cNvPr>
        <xdr:cNvGrpSpPr/>
      </xdr:nvGrpSpPr>
      <xdr:grpSpPr>
        <a:xfrm>
          <a:off x="701656" y="1384412"/>
          <a:ext cx="390525" cy="38100"/>
          <a:chOff x="5150738" y="3780000"/>
          <a:chExt cx="390525" cy="0"/>
        </a:xfrm>
      </xdr:grpSpPr>
      <xdr:cxnSp macro="">
        <xdr:nvCxnSpPr>
          <xdr:cNvPr id="119" name="Shape 145">
            <a:extLst>
              <a:ext uri="{FF2B5EF4-FFF2-40B4-BE49-F238E27FC236}">
                <a16:creationId xmlns:a16="http://schemas.microsoft.com/office/drawing/2014/main" id="{F5A539A1-81FE-AC16-2923-5DE2A654038C}"/>
              </a:ext>
            </a:extLst>
          </xdr:cNvPr>
          <xdr:cNvCxnSpPr/>
        </xdr:nvCxnSpPr>
        <xdr:spPr>
          <a:xfrm>
            <a:off x="5150738" y="3780000"/>
            <a:ext cx="390525" cy="0"/>
          </a:xfrm>
          <a:prstGeom prst="straightConnector1">
            <a:avLst/>
          </a:prstGeom>
          <a:noFill/>
          <a:ln w="22225" cap="flat" cmpd="sng">
            <a:solidFill>
              <a:srgbClr val="A5A5A5">
                <a:alpha val="91764"/>
              </a:srgbClr>
            </a:solidFill>
            <a:prstDash val="solid"/>
            <a:miter lim="800000"/>
            <a:headEnd type="none" w="sm" len="sm"/>
            <a:tailEnd type="none" w="sm" len="sm"/>
          </a:ln>
        </xdr:spPr>
      </xdr:cxnSp>
    </xdr:grpSp>
    <xdr:clientData fLocksWithSheet="0"/>
  </xdr:oneCellAnchor>
  <xdr:oneCellAnchor>
    <xdr:from>
      <xdr:col>1</xdr:col>
      <xdr:colOff>198645</xdr:colOff>
      <xdr:row>7</xdr:row>
      <xdr:rowOff>35712</xdr:rowOff>
    </xdr:from>
    <xdr:ext cx="180975" cy="38100"/>
    <xdr:grpSp>
      <xdr:nvGrpSpPr>
        <xdr:cNvPr id="120" name="Shape 2">
          <a:extLst>
            <a:ext uri="{FF2B5EF4-FFF2-40B4-BE49-F238E27FC236}">
              <a16:creationId xmlns:a16="http://schemas.microsoft.com/office/drawing/2014/main" id="{EA2DCF63-5EB8-4485-8ED1-75F4E1ECFCB0}"/>
            </a:ext>
          </a:extLst>
        </xdr:cNvPr>
        <xdr:cNvGrpSpPr/>
      </xdr:nvGrpSpPr>
      <xdr:grpSpPr>
        <a:xfrm>
          <a:off x="806431" y="1432712"/>
          <a:ext cx="180975" cy="38100"/>
          <a:chOff x="5255513" y="3780000"/>
          <a:chExt cx="180975" cy="0"/>
        </a:xfrm>
      </xdr:grpSpPr>
      <xdr:cxnSp macro="">
        <xdr:nvCxnSpPr>
          <xdr:cNvPr id="121" name="Shape 146">
            <a:extLst>
              <a:ext uri="{FF2B5EF4-FFF2-40B4-BE49-F238E27FC236}">
                <a16:creationId xmlns:a16="http://schemas.microsoft.com/office/drawing/2014/main" id="{0C47C363-45F3-7CB8-75B9-500E473DCE24}"/>
              </a:ext>
            </a:extLst>
          </xdr:cNvPr>
          <xdr:cNvCxnSpPr/>
        </xdr:nvCxnSpPr>
        <xdr:spPr>
          <a:xfrm>
            <a:off x="5255513" y="3780000"/>
            <a:ext cx="180975" cy="0"/>
          </a:xfrm>
          <a:prstGeom prst="straightConnector1">
            <a:avLst/>
          </a:prstGeom>
          <a:noFill/>
          <a:ln w="22225" cap="flat" cmpd="sng">
            <a:solidFill>
              <a:srgbClr val="A5A5A5">
                <a:alpha val="91764"/>
              </a:srgbClr>
            </a:solidFill>
            <a:prstDash val="solid"/>
            <a:miter lim="800000"/>
            <a:headEnd type="none" w="sm" len="sm"/>
            <a:tailEnd type="none" w="sm" len="sm"/>
          </a:ln>
        </xdr:spPr>
      </xdr:cxnSp>
    </xdr:grpSp>
    <xdr:clientData fLocksWithSheet="0"/>
  </xdr:oneCellAnchor>
  <xdr:oneCellAnchor>
    <xdr:from>
      <xdr:col>0</xdr:col>
      <xdr:colOff>55217</xdr:colOff>
      <xdr:row>7</xdr:row>
      <xdr:rowOff>81493</xdr:rowOff>
    </xdr:from>
    <xdr:ext cx="1752600" cy="323850"/>
    <xdr:sp macro="" textlink="">
      <xdr:nvSpPr>
        <xdr:cNvPr id="162" name="Shape 152">
          <a:extLst>
            <a:ext uri="{FF2B5EF4-FFF2-40B4-BE49-F238E27FC236}">
              <a16:creationId xmlns:a16="http://schemas.microsoft.com/office/drawing/2014/main" id="{216C8CF4-51FB-49ED-8828-F213869B7FC2}"/>
            </a:ext>
          </a:extLst>
        </xdr:cNvPr>
        <xdr:cNvSpPr txBox="1"/>
      </xdr:nvSpPr>
      <xdr:spPr>
        <a:xfrm>
          <a:off x="55217" y="1496010"/>
          <a:ext cx="1752600" cy="323850"/>
        </a:xfrm>
        <a:prstGeom prst="rect">
          <a:avLst/>
        </a:prstGeom>
        <a:solidFill>
          <a:srgbClr val="2B2231"/>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0">
              <a:solidFill>
                <a:srgbClr val="BFBFBF"/>
              </a:solidFill>
              <a:latin typeface="Arial"/>
              <a:ea typeface="Arial"/>
              <a:cs typeface="Arial"/>
              <a:sym typeface="Arial"/>
            </a:rPr>
            <a:t>Employee Details</a:t>
          </a:r>
          <a:endParaRPr sz="1400" b="0">
            <a:solidFill>
              <a:srgbClr val="BFBFBF"/>
            </a:solidFill>
            <a:latin typeface="Arial"/>
            <a:ea typeface="Arial"/>
            <a:cs typeface="Arial"/>
            <a:sym typeface="Arial"/>
          </a:endParaRPr>
        </a:p>
      </xdr:txBody>
    </xdr:sp>
    <xdr:clientData fLocksWithSheet="0"/>
  </xdr:oneCellAnchor>
  <xdr:twoCellAnchor editAs="absolute">
    <xdr:from>
      <xdr:col>0</xdr:col>
      <xdr:colOff>0</xdr:colOff>
      <xdr:row>15</xdr:row>
      <xdr:rowOff>149553</xdr:rowOff>
    </xdr:from>
    <xdr:to>
      <xdr:col>2</xdr:col>
      <xdr:colOff>590550</xdr:colOff>
      <xdr:row>17</xdr:row>
      <xdr:rowOff>100444</xdr:rowOff>
    </xdr:to>
    <xdr:sp macro="" textlink="'Search 1'!T7">
      <xdr:nvSpPr>
        <xdr:cNvPr id="166" name="Shape 155">
          <a:extLst>
            <a:ext uri="{FF2B5EF4-FFF2-40B4-BE49-F238E27FC236}">
              <a16:creationId xmlns:a16="http://schemas.microsoft.com/office/drawing/2014/main" id="{3A47D4A9-DAA9-8D5F-D8B1-A0D13F99F43C}"/>
            </a:ext>
          </a:extLst>
        </xdr:cNvPr>
        <xdr:cNvSpPr txBox="1"/>
      </xdr:nvSpPr>
      <xdr:spPr>
        <a:xfrm>
          <a:off x="0" y="3063082"/>
          <a:ext cx="1815726" cy="324421"/>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1F4FB348-48E2-4B03-9085-EC358836FD36}"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6350</xdr:colOff>
      <xdr:row>19</xdr:row>
      <xdr:rowOff>112058</xdr:rowOff>
    </xdr:from>
    <xdr:to>
      <xdr:col>2</xdr:col>
      <xdr:colOff>596900</xdr:colOff>
      <xdr:row>21</xdr:row>
      <xdr:rowOff>60227</xdr:rowOff>
    </xdr:to>
    <xdr:sp macro="" textlink="'Search 1'!U7">
      <xdr:nvSpPr>
        <xdr:cNvPr id="167" name="Shape 155">
          <a:extLst>
            <a:ext uri="{FF2B5EF4-FFF2-40B4-BE49-F238E27FC236}">
              <a16:creationId xmlns:a16="http://schemas.microsoft.com/office/drawing/2014/main" id="{8FB61099-2A33-A618-7CC7-96D11E6E78DF}"/>
            </a:ext>
          </a:extLst>
        </xdr:cNvPr>
        <xdr:cNvSpPr txBox="1"/>
      </xdr:nvSpPr>
      <xdr:spPr>
        <a:xfrm>
          <a:off x="6350" y="3772646"/>
          <a:ext cx="1815726" cy="321699"/>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1354CF23-1DE0-49CC-91CB-75B3806D8202}"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19050</xdr:colOff>
      <xdr:row>23</xdr:row>
      <xdr:rowOff>71841</xdr:rowOff>
    </xdr:from>
    <xdr:to>
      <xdr:col>2</xdr:col>
      <xdr:colOff>608724</xdr:colOff>
      <xdr:row>25</xdr:row>
      <xdr:rowOff>20010</xdr:rowOff>
    </xdr:to>
    <xdr:sp macro="" textlink="'Search 1'!V7">
      <xdr:nvSpPr>
        <xdr:cNvPr id="168" name="Shape 155">
          <a:extLst>
            <a:ext uri="{FF2B5EF4-FFF2-40B4-BE49-F238E27FC236}">
              <a16:creationId xmlns:a16="http://schemas.microsoft.com/office/drawing/2014/main" id="{30DAD11F-8561-C870-F590-72BEEBD37FAB}"/>
            </a:ext>
          </a:extLst>
        </xdr:cNvPr>
        <xdr:cNvSpPr txBox="1"/>
      </xdr:nvSpPr>
      <xdr:spPr>
        <a:xfrm>
          <a:off x="19050" y="4479488"/>
          <a:ext cx="1818715" cy="321698"/>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E41FE251-99FD-40C7-9461-5833FDABCC47}"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0</xdr:colOff>
      <xdr:row>27</xdr:row>
      <xdr:rowOff>31624</xdr:rowOff>
    </xdr:from>
    <xdr:to>
      <xdr:col>2</xdr:col>
      <xdr:colOff>590550</xdr:colOff>
      <xdr:row>28</xdr:row>
      <xdr:rowOff>166557</xdr:rowOff>
    </xdr:to>
    <xdr:sp macro="" textlink="'Search 1'!W7">
      <xdr:nvSpPr>
        <xdr:cNvPr id="169" name="Shape 155">
          <a:extLst>
            <a:ext uri="{FF2B5EF4-FFF2-40B4-BE49-F238E27FC236}">
              <a16:creationId xmlns:a16="http://schemas.microsoft.com/office/drawing/2014/main" id="{BC72A0D3-A2C4-8925-7DA3-01BB8809B0F4}"/>
            </a:ext>
          </a:extLst>
        </xdr:cNvPr>
        <xdr:cNvSpPr txBox="1"/>
      </xdr:nvSpPr>
      <xdr:spPr>
        <a:xfrm>
          <a:off x="0" y="5186330"/>
          <a:ext cx="1815726" cy="321698"/>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05CD7AC9-B7B3-4C3C-968C-1927A2CC6669}"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19050</xdr:colOff>
      <xdr:row>30</xdr:row>
      <xdr:rowOff>178172</xdr:rowOff>
    </xdr:from>
    <xdr:to>
      <xdr:col>2</xdr:col>
      <xdr:colOff>608724</xdr:colOff>
      <xdr:row>32</xdr:row>
      <xdr:rowOff>121004</xdr:rowOff>
    </xdr:to>
    <xdr:sp macro="" textlink="'Search 1'!X7">
      <xdr:nvSpPr>
        <xdr:cNvPr id="170" name="Shape 155">
          <a:extLst>
            <a:ext uri="{FF2B5EF4-FFF2-40B4-BE49-F238E27FC236}">
              <a16:creationId xmlns:a16="http://schemas.microsoft.com/office/drawing/2014/main" id="{8277A0C9-BE87-E65B-252C-6B344D907A67}"/>
            </a:ext>
          </a:extLst>
        </xdr:cNvPr>
        <xdr:cNvSpPr txBox="1"/>
      </xdr:nvSpPr>
      <xdr:spPr>
        <a:xfrm>
          <a:off x="19050" y="5893172"/>
          <a:ext cx="1818715" cy="316361"/>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B16C38FA-A021-4785-A43B-877E56CAE8C5}"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0</xdr:colOff>
      <xdr:row>34</xdr:row>
      <xdr:rowOff>69123</xdr:rowOff>
    </xdr:from>
    <xdr:to>
      <xdr:col>2</xdr:col>
      <xdr:colOff>590550</xdr:colOff>
      <xdr:row>36</xdr:row>
      <xdr:rowOff>17292</xdr:rowOff>
    </xdr:to>
    <xdr:sp macro="" textlink="'Search 1'!Y7">
      <xdr:nvSpPr>
        <xdr:cNvPr id="171" name="Shape 155">
          <a:extLst>
            <a:ext uri="{FF2B5EF4-FFF2-40B4-BE49-F238E27FC236}">
              <a16:creationId xmlns:a16="http://schemas.microsoft.com/office/drawing/2014/main" id="{F4804E3C-DD97-64DB-0402-76132FA50A9D}"/>
            </a:ext>
          </a:extLst>
        </xdr:cNvPr>
        <xdr:cNvSpPr txBox="1"/>
      </xdr:nvSpPr>
      <xdr:spPr>
        <a:xfrm>
          <a:off x="0" y="6364694"/>
          <a:ext cx="1806121" cy="311027"/>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02CD7144-A858-4B15-A4CF-AAB3BC96379B}"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0</xdr:colOff>
      <xdr:row>10</xdr:row>
      <xdr:rowOff>89919</xdr:rowOff>
    </xdr:from>
    <xdr:to>
      <xdr:col>2</xdr:col>
      <xdr:colOff>590550</xdr:colOff>
      <xdr:row>12</xdr:row>
      <xdr:rowOff>40810</xdr:rowOff>
    </xdr:to>
    <xdr:sp macro="" textlink="'Search 1'!S8">
      <xdr:nvSpPr>
        <xdr:cNvPr id="172" name="Shape 155">
          <a:extLst>
            <a:ext uri="{FF2B5EF4-FFF2-40B4-BE49-F238E27FC236}">
              <a16:creationId xmlns:a16="http://schemas.microsoft.com/office/drawing/2014/main" id="{9007D8CD-AEC3-C299-37FD-7EF857C9CD42}"/>
            </a:ext>
          </a:extLst>
        </xdr:cNvPr>
        <xdr:cNvSpPr txBox="1"/>
      </xdr:nvSpPr>
      <xdr:spPr>
        <a:xfrm>
          <a:off x="0" y="2069625"/>
          <a:ext cx="1815726" cy="32442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9E24B27C-C1A4-4CB9-99C3-A6E4A23145B5}"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2000" b="0" i="0">
            <a:solidFill>
              <a:schemeClr val="bg1">
                <a:lumMod val="95000"/>
              </a:schemeClr>
            </a:solidFill>
          </a:endParaRPr>
        </a:p>
      </xdr:txBody>
    </xdr:sp>
    <xdr:clientData fLocksWithSheet="0"/>
  </xdr:twoCellAnchor>
  <xdr:twoCellAnchor editAs="absolute">
    <xdr:from>
      <xdr:col>0</xdr:col>
      <xdr:colOff>0</xdr:colOff>
      <xdr:row>17</xdr:row>
      <xdr:rowOff>22553</xdr:rowOff>
    </xdr:from>
    <xdr:to>
      <xdr:col>2</xdr:col>
      <xdr:colOff>590550</xdr:colOff>
      <xdr:row>18</xdr:row>
      <xdr:rowOff>160208</xdr:rowOff>
    </xdr:to>
    <xdr:sp macro="" textlink="'Search 1'!T8">
      <xdr:nvSpPr>
        <xdr:cNvPr id="173" name="Shape 155">
          <a:extLst>
            <a:ext uri="{FF2B5EF4-FFF2-40B4-BE49-F238E27FC236}">
              <a16:creationId xmlns:a16="http://schemas.microsoft.com/office/drawing/2014/main" id="{6F2C0E2F-F209-7534-C4BE-1580AE3AED9F}"/>
            </a:ext>
          </a:extLst>
        </xdr:cNvPr>
        <xdr:cNvSpPr txBox="1"/>
      </xdr:nvSpPr>
      <xdr:spPr>
        <a:xfrm>
          <a:off x="0" y="3309612"/>
          <a:ext cx="1815726" cy="32442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CBBDFD8E-A7A2-4EB2-AFF9-ACFF3DA57346}"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6350</xdr:colOff>
      <xdr:row>20</xdr:row>
      <xdr:rowOff>171823</xdr:rowOff>
    </xdr:from>
    <xdr:to>
      <xdr:col>2</xdr:col>
      <xdr:colOff>596900</xdr:colOff>
      <xdr:row>22</xdr:row>
      <xdr:rowOff>114655</xdr:rowOff>
    </xdr:to>
    <xdr:sp macro="" textlink="'Search 1'!U8">
      <xdr:nvSpPr>
        <xdr:cNvPr id="174" name="Shape 155">
          <a:extLst>
            <a:ext uri="{FF2B5EF4-FFF2-40B4-BE49-F238E27FC236}">
              <a16:creationId xmlns:a16="http://schemas.microsoft.com/office/drawing/2014/main" id="{AB63B564-9754-B89F-0031-D21A7C1A23E3}"/>
            </a:ext>
          </a:extLst>
        </xdr:cNvPr>
        <xdr:cNvSpPr txBox="1"/>
      </xdr:nvSpPr>
      <xdr:spPr>
        <a:xfrm>
          <a:off x="6350" y="4019176"/>
          <a:ext cx="1815726" cy="316361"/>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AEB23295-8004-4DDB-B9E9-6943FF155316}"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19050</xdr:colOff>
      <xdr:row>24</xdr:row>
      <xdr:rowOff>126269</xdr:rowOff>
    </xdr:from>
    <xdr:to>
      <xdr:col>2</xdr:col>
      <xdr:colOff>608724</xdr:colOff>
      <xdr:row>26</xdr:row>
      <xdr:rowOff>74439</xdr:rowOff>
    </xdr:to>
    <xdr:sp macro="" textlink="'Search 1'!V8">
      <xdr:nvSpPr>
        <xdr:cNvPr id="175" name="Shape 155">
          <a:extLst>
            <a:ext uri="{FF2B5EF4-FFF2-40B4-BE49-F238E27FC236}">
              <a16:creationId xmlns:a16="http://schemas.microsoft.com/office/drawing/2014/main" id="{D1D25E95-1F6A-B6AB-153C-9CED7ED71F64}"/>
            </a:ext>
          </a:extLst>
        </xdr:cNvPr>
        <xdr:cNvSpPr txBox="1"/>
      </xdr:nvSpPr>
      <xdr:spPr>
        <a:xfrm>
          <a:off x="19050" y="4720681"/>
          <a:ext cx="1818715" cy="321699"/>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566F215A-8210-4B57-9A0A-745CE39BD97F}"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0</xdr:colOff>
      <xdr:row>28</xdr:row>
      <xdr:rowOff>86052</xdr:rowOff>
    </xdr:from>
    <xdr:to>
      <xdr:col>2</xdr:col>
      <xdr:colOff>590550</xdr:colOff>
      <xdr:row>30</xdr:row>
      <xdr:rowOff>34222</xdr:rowOff>
    </xdr:to>
    <xdr:sp macro="" textlink="'Search 1'!W8">
      <xdr:nvSpPr>
        <xdr:cNvPr id="176" name="Shape 155">
          <a:extLst>
            <a:ext uri="{FF2B5EF4-FFF2-40B4-BE49-F238E27FC236}">
              <a16:creationId xmlns:a16="http://schemas.microsoft.com/office/drawing/2014/main" id="{F59101B9-00E3-3DE9-600F-BCE467116E15}"/>
            </a:ext>
          </a:extLst>
        </xdr:cNvPr>
        <xdr:cNvSpPr txBox="1"/>
      </xdr:nvSpPr>
      <xdr:spPr>
        <a:xfrm>
          <a:off x="0" y="5427523"/>
          <a:ext cx="1815726" cy="321699"/>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648D23BE-F406-4864-9AF0-EE06CA919DEB}"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19050</xdr:colOff>
      <xdr:row>32</xdr:row>
      <xdr:rowOff>45835</xdr:rowOff>
    </xdr:from>
    <xdr:to>
      <xdr:col>2</xdr:col>
      <xdr:colOff>608724</xdr:colOff>
      <xdr:row>33</xdr:row>
      <xdr:rowOff>180769</xdr:rowOff>
    </xdr:to>
    <xdr:sp macro="" textlink="'Search 1'!X8">
      <xdr:nvSpPr>
        <xdr:cNvPr id="177" name="Shape 155">
          <a:extLst>
            <a:ext uri="{FF2B5EF4-FFF2-40B4-BE49-F238E27FC236}">
              <a16:creationId xmlns:a16="http://schemas.microsoft.com/office/drawing/2014/main" id="{90224591-3D84-1C1A-5773-2A1B615778A9}"/>
            </a:ext>
          </a:extLst>
        </xdr:cNvPr>
        <xdr:cNvSpPr txBox="1"/>
      </xdr:nvSpPr>
      <xdr:spPr>
        <a:xfrm>
          <a:off x="19050" y="6134364"/>
          <a:ext cx="1818715" cy="321699"/>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CAE9A798-A403-4159-AAE6-951630FC5A61}"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0</xdr:colOff>
      <xdr:row>35</xdr:row>
      <xdr:rowOff>123552</xdr:rowOff>
    </xdr:from>
    <xdr:to>
      <xdr:col>2</xdr:col>
      <xdr:colOff>590550</xdr:colOff>
      <xdr:row>37</xdr:row>
      <xdr:rowOff>71721</xdr:rowOff>
    </xdr:to>
    <xdr:sp macro="" textlink="'Search 1'!Y8">
      <xdr:nvSpPr>
        <xdr:cNvPr id="178" name="Shape 155">
          <a:extLst>
            <a:ext uri="{FF2B5EF4-FFF2-40B4-BE49-F238E27FC236}">
              <a16:creationId xmlns:a16="http://schemas.microsoft.com/office/drawing/2014/main" id="{A9C5D096-531C-F1B3-80F8-AD3983D951CB}"/>
            </a:ext>
          </a:extLst>
        </xdr:cNvPr>
        <xdr:cNvSpPr txBox="1"/>
      </xdr:nvSpPr>
      <xdr:spPr>
        <a:xfrm>
          <a:off x="0" y="6600552"/>
          <a:ext cx="1806121" cy="311026"/>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556DCB91-ABE7-4B18-8491-D4FFB0CEC006}"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0</xdr:colOff>
      <xdr:row>12</xdr:row>
      <xdr:rowOff>50433</xdr:rowOff>
    </xdr:from>
    <xdr:to>
      <xdr:col>2</xdr:col>
      <xdr:colOff>590550</xdr:colOff>
      <xdr:row>13</xdr:row>
      <xdr:rowOff>182752</xdr:rowOff>
    </xdr:to>
    <xdr:sp macro="" textlink="'Search 1'!R7">
      <xdr:nvSpPr>
        <xdr:cNvPr id="179" name="Shape 155">
          <a:extLst>
            <a:ext uri="{FF2B5EF4-FFF2-40B4-BE49-F238E27FC236}">
              <a16:creationId xmlns:a16="http://schemas.microsoft.com/office/drawing/2014/main" id="{7CC2C3E5-5A36-FA91-1F54-E3538F1A9399}"/>
            </a:ext>
          </a:extLst>
        </xdr:cNvPr>
        <xdr:cNvSpPr txBox="1"/>
      </xdr:nvSpPr>
      <xdr:spPr>
        <a:xfrm>
          <a:off x="0" y="2403668"/>
          <a:ext cx="1815726" cy="319084"/>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DF5FFDE7-E1A2-4169-B86A-3C478904C078}" type="TxLink">
            <a:rPr lang="en-US" sz="1400" b="1" i="0" u="none" strike="noStrike">
              <a:solidFill>
                <a:schemeClr val="bg1">
                  <a:lumMod val="85000"/>
                </a:schemeClr>
              </a:solidFill>
              <a:latin typeface="Calibri"/>
              <a:ea typeface="Calibri"/>
              <a:cs typeface="Calibri"/>
            </a:rPr>
            <a:pPr marL="0" lvl="0" indent="0" algn="ctr" rtl="0">
              <a:spcBef>
                <a:spcPts val="0"/>
              </a:spcBef>
              <a:spcAft>
                <a:spcPts val="0"/>
              </a:spcAft>
              <a:buNone/>
            </a:pPr>
            <a:t> </a:t>
          </a:fld>
          <a:endParaRPr lang="en-US" sz="1400" b="1" i="0" u="none" strike="noStrike">
            <a:solidFill>
              <a:schemeClr val="bg1">
                <a:lumMod val="85000"/>
              </a:schemeClr>
            </a:solidFill>
            <a:latin typeface="Calibri"/>
            <a:ea typeface="Calibri"/>
            <a:cs typeface="Calibri"/>
          </a:endParaRPr>
        </a:p>
      </xdr:txBody>
    </xdr:sp>
    <xdr:clientData fLocksWithSheet="0"/>
  </xdr:twoCellAnchor>
  <xdr:twoCellAnchor editAs="absolute">
    <xdr:from>
      <xdr:col>0</xdr:col>
      <xdr:colOff>0</xdr:colOff>
      <xdr:row>13</xdr:row>
      <xdr:rowOff>104861</xdr:rowOff>
    </xdr:from>
    <xdr:to>
      <xdr:col>2</xdr:col>
      <xdr:colOff>590550</xdr:colOff>
      <xdr:row>15</xdr:row>
      <xdr:rowOff>55752</xdr:rowOff>
    </xdr:to>
    <xdr:sp macro="" textlink="'Search 1'!R8">
      <xdr:nvSpPr>
        <xdr:cNvPr id="180" name="Shape 155">
          <a:extLst>
            <a:ext uri="{FF2B5EF4-FFF2-40B4-BE49-F238E27FC236}">
              <a16:creationId xmlns:a16="http://schemas.microsoft.com/office/drawing/2014/main" id="{ED5C00E9-4C67-23E3-5E89-E76562AEA8AC}"/>
            </a:ext>
          </a:extLst>
        </xdr:cNvPr>
        <xdr:cNvSpPr txBox="1"/>
      </xdr:nvSpPr>
      <xdr:spPr>
        <a:xfrm>
          <a:off x="0" y="2644861"/>
          <a:ext cx="1815726" cy="324420"/>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4A2AB565-7F98-4EBF-BEF6-D1A3A4EB4167}" type="TxLink">
            <a:rPr lang="en-US" sz="1400" b="0" i="0" u="none" strike="noStrike">
              <a:solidFill>
                <a:schemeClr val="bg1">
                  <a:lumMod val="95000"/>
                </a:schemeClr>
              </a:solidFill>
              <a:latin typeface="Calibri"/>
              <a:ea typeface="Calibri"/>
              <a:cs typeface="Calibri"/>
            </a:rPr>
            <a:pPr marL="0" lvl="0" indent="0" algn="ctr" rtl="0">
              <a:spcBef>
                <a:spcPts val="0"/>
              </a:spcBef>
              <a:spcAft>
                <a:spcPts val="0"/>
              </a:spcAft>
              <a:buNone/>
            </a:pPr>
            <a:t> </a:t>
          </a:fld>
          <a:endParaRPr lang="en-US" sz="1400" b="0" i="0" u="none" strike="noStrike">
            <a:solidFill>
              <a:schemeClr val="bg1">
                <a:lumMod val="95000"/>
              </a:schemeClr>
            </a:solidFill>
            <a:latin typeface="Calibri"/>
            <a:ea typeface="Calibri"/>
            <a:cs typeface="Calibri"/>
          </a:endParaRPr>
        </a:p>
      </xdr:txBody>
    </xdr:sp>
    <xdr:clientData fLocksWithSheet="0"/>
  </xdr:twoCellAnchor>
  <xdr:twoCellAnchor editAs="absolute">
    <xdr:from>
      <xdr:col>0</xdr:col>
      <xdr:colOff>83207</xdr:colOff>
      <xdr:row>4</xdr:row>
      <xdr:rowOff>148894</xdr:rowOff>
    </xdr:from>
    <xdr:to>
      <xdr:col>2</xdr:col>
      <xdr:colOff>586828</xdr:colOff>
      <xdr:row>6</xdr:row>
      <xdr:rowOff>115093</xdr:rowOff>
    </xdr:to>
    <xdr:sp macro="" textlink="'Search 1'!O8">
      <xdr:nvSpPr>
        <xdr:cNvPr id="181" name="Shape 155">
          <a:extLst>
            <a:ext uri="{FF2B5EF4-FFF2-40B4-BE49-F238E27FC236}">
              <a16:creationId xmlns:a16="http://schemas.microsoft.com/office/drawing/2014/main" id="{A2977A24-486A-6D89-A996-4169066B0583}"/>
            </a:ext>
          </a:extLst>
        </xdr:cNvPr>
        <xdr:cNvSpPr txBox="1"/>
      </xdr:nvSpPr>
      <xdr:spPr>
        <a:xfrm>
          <a:off x="83207" y="1011618"/>
          <a:ext cx="1721069" cy="334061"/>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3B08FFBC-51E8-4E51-9973-3E32FE49596D}" type="TxLink">
            <a:rPr lang="en-US" sz="1200" b="0" i="0" u="none" strike="noStrike">
              <a:solidFill>
                <a:srgbClr val="9ACEEE"/>
              </a:solidFill>
              <a:latin typeface="Calibri"/>
              <a:ea typeface="Calibri"/>
              <a:cs typeface="Calibri"/>
              <a:sym typeface="Calibri"/>
            </a:rPr>
            <a:pPr marL="0" lvl="0" indent="0" algn="ctr" rtl="0">
              <a:spcBef>
                <a:spcPts val="0"/>
              </a:spcBef>
              <a:spcAft>
                <a:spcPts val="0"/>
              </a:spcAft>
              <a:buNone/>
            </a:pPr>
            <a:t> </a:t>
          </a:fld>
          <a:endParaRPr sz="1800" b="1">
            <a:solidFill>
              <a:srgbClr val="9ACEEE"/>
            </a:solidFill>
          </a:endParaRPr>
        </a:p>
      </xdr:txBody>
    </xdr:sp>
    <xdr:clientData fLocksWithSheet="0"/>
  </xdr:twoCellAnchor>
  <xdr:twoCellAnchor editAs="absolute">
    <xdr:from>
      <xdr:col>0</xdr:col>
      <xdr:colOff>22952</xdr:colOff>
      <xdr:row>4</xdr:row>
      <xdr:rowOff>157901</xdr:rowOff>
    </xdr:from>
    <xdr:to>
      <xdr:col>3</xdr:col>
      <xdr:colOff>1453</xdr:colOff>
      <xdr:row>6</xdr:row>
      <xdr:rowOff>106606</xdr:rowOff>
    </xdr:to>
    <xdr:sp macro="" textlink="'Search 1'!O13">
      <xdr:nvSpPr>
        <xdr:cNvPr id="75" name="Shape 155">
          <a:extLst>
            <a:ext uri="{FF2B5EF4-FFF2-40B4-BE49-F238E27FC236}">
              <a16:creationId xmlns:a16="http://schemas.microsoft.com/office/drawing/2014/main" id="{739BAA44-984B-A5F9-7EE7-2836484317B8}"/>
            </a:ext>
          </a:extLst>
        </xdr:cNvPr>
        <xdr:cNvSpPr txBox="1"/>
      </xdr:nvSpPr>
      <xdr:spPr>
        <a:xfrm>
          <a:off x="22952" y="1022419"/>
          <a:ext cx="1814646" cy="315934"/>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fld id="{12C29CF0-FA64-48B0-8579-74AB097D0412}" type="TxLink">
            <a:rPr lang="en-US" sz="1100" b="1" i="0" u="none" strike="noStrike">
              <a:solidFill>
                <a:srgbClr val="913315"/>
              </a:solidFill>
              <a:latin typeface="Calibri"/>
              <a:ea typeface="Calibri"/>
              <a:cs typeface="Calibri"/>
            </a:rPr>
            <a:pPr marL="0" lvl="0" indent="0" algn="ctr" rtl="0">
              <a:spcBef>
                <a:spcPts val="0"/>
              </a:spcBef>
              <a:spcAft>
                <a:spcPts val="0"/>
              </a:spcAft>
              <a:buNone/>
            </a:pPr>
            <a:t> </a:t>
          </a:fld>
          <a:endParaRPr lang="en-US" sz="1600" b="1" i="0">
            <a:solidFill>
              <a:srgbClr val="913315"/>
            </a:solidFill>
          </a:endParaRPr>
        </a:p>
      </xdr:txBody>
    </xdr:sp>
    <xdr:clientData fLocksWithSheet="0"/>
  </xdr:twoCellAnchor>
  <xdr:twoCellAnchor editAs="oneCell">
    <xdr:from>
      <xdr:col>15</xdr:col>
      <xdr:colOff>7650</xdr:colOff>
      <xdr:row>5</xdr:row>
      <xdr:rowOff>137711</xdr:rowOff>
    </xdr:from>
    <xdr:to>
      <xdr:col>21</xdr:col>
      <xdr:colOff>68856</xdr:colOff>
      <xdr:row>21</xdr:row>
      <xdr:rowOff>68855</xdr:rowOff>
    </xdr:to>
    <mc:AlternateContent xmlns:mc="http://schemas.openxmlformats.org/markup-compatibility/2006" xmlns:a14="http://schemas.microsoft.com/office/drawing/2010/main">
      <mc:Choice Requires="a14">
        <xdr:graphicFrame macro="">
          <xdr:nvGraphicFramePr>
            <xdr:cNvPr id="100" name="Nationality">
              <a:extLst>
                <a:ext uri="{FF2B5EF4-FFF2-40B4-BE49-F238E27FC236}">
                  <a16:creationId xmlns:a16="http://schemas.microsoft.com/office/drawing/2014/main" id="{609A2CFB-4794-49CA-914A-7A81A72D33D7}"/>
                </a:ext>
              </a:extLst>
            </xdr:cNvPr>
            <xdr:cNvGraphicFramePr/>
          </xdr:nvGraphicFramePr>
          <xdr:xfrm>
            <a:off x="0" y="0"/>
            <a:ext cx="0" cy="0"/>
          </xdr:xfrm>
          <a:graphic>
            <a:graphicData uri="http://schemas.microsoft.com/office/drawing/2010/slicer">
              <sle:slicer xmlns:sle="http://schemas.microsoft.com/office/drawing/2010/slicer" name="Nationality"/>
            </a:graphicData>
          </a:graphic>
        </xdr:graphicFrame>
      </mc:Choice>
      <mc:Fallback xmlns="">
        <xdr:sp macro="" textlink="">
          <xdr:nvSpPr>
            <xdr:cNvPr id="0" name=""/>
            <xdr:cNvSpPr>
              <a:spLocks noTextEdit="1"/>
            </xdr:cNvSpPr>
          </xdr:nvSpPr>
          <xdr:spPr>
            <a:xfrm>
              <a:off x="12635079" y="1171854"/>
              <a:ext cx="3735134" cy="2834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124322</xdr:colOff>
      <xdr:row>21</xdr:row>
      <xdr:rowOff>170227</xdr:rowOff>
    </xdr:from>
    <xdr:to>
      <xdr:col>21</xdr:col>
      <xdr:colOff>94026</xdr:colOff>
      <xdr:row>34</xdr:row>
      <xdr:rowOff>76507</xdr:rowOff>
    </xdr:to>
    <mc:AlternateContent xmlns:mc="http://schemas.openxmlformats.org/markup-compatibility/2006" xmlns:a14="http://schemas.microsoft.com/office/drawing/2010/main">
      <mc:Choice Requires="a14">
        <xdr:graphicFrame macro="">
          <xdr:nvGraphicFramePr>
            <xdr:cNvPr id="108" name="Location">
              <a:extLst>
                <a:ext uri="{FF2B5EF4-FFF2-40B4-BE49-F238E27FC236}">
                  <a16:creationId xmlns:a16="http://schemas.microsoft.com/office/drawing/2014/main" id="{69CE09A6-54E6-4954-BC8E-CB313202E6FF}"/>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4575108" y="4107227"/>
              <a:ext cx="1820275" cy="2264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11476</xdr:colOff>
      <xdr:row>22</xdr:row>
      <xdr:rowOff>11478</xdr:rowOff>
    </xdr:from>
    <xdr:to>
      <xdr:col>18</xdr:col>
      <xdr:colOff>4131</xdr:colOff>
      <xdr:row>34</xdr:row>
      <xdr:rowOff>91808</xdr:rowOff>
    </xdr:to>
    <mc:AlternateContent xmlns:mc="http://schemas.openxmlformats.org/markup-compatibility/2006" xmlns:a14="http://schemas.microsoft.com/office/drawing/2010/main">
      <mc:Choice Requires="a14">
        <xdr:graphicFrame macro="">
          <xdr:nvGraphicFramePr>
            <xdr:cNvPr id="117" name="Years">
              <a:extLst>
                <a:ext uri="{FF2B5EF4-FFF2-40B4-BE49-F238E27FC236}">
                  <a16:creationId xmlns:a16="http://schemas.microsoft.com/office/drawing/2014/main" id="{03254DD6-D19D-4E87-8E0D-A71C56033F07}"/>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2638905" y="4129907"/>
              <a:ext cx="1816012" cy="22574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244931</xdr:colOff>
      <xdr:row>2</xdr:row>
      <xdr:rowOff>81643</xdr:rowOff>
    </xdr:from>
    <xdr:to>
      <xdr:col>10</xdr:col>
      <xdr:colOff>208645</xdr:colOff>
      <xdr:row>4</xdr:row>
      <xdr:rowOff>27215</xdr:rowOff>
    </xdr:to>
    <xdr:sp macro="[0]!_xludf.Clear" textlink="">
      <xdr:nvSpPr>
        <xdr:cNvPr id="122" name="Rectangle: Rounded Corners 121">
          <a:extLst>
            <a:ext uri="{FF2B5EF4-FFF2-40B4-BE49-F238E27FC236}">
              <a16:creationId xmlns:a16="http://schemas.microsoft.com/office/drawing/2014/main" id="{25CA7A67-3689-49B7-81CF-2E6CB99A50D9}"/>
            </a:ext>
          </a:extLst>
        </xdr:cNvPr>
        <xdr:cNvSpPr/>
      </xdr:nvSpPr>
      <xdr:spPr>
        <a:xfrm>
          <a:off x="8717645" y="498929"/>
          <a:ext cx="1079500" cy="381000"/>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Clear</a:t>
          </a:r>
          <a:endParaRPr lang="en-IN" sz="1100" b="1">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refreshedDate="44906.595512499996" createdVersion="8" refreshedVersion="8" minRefreshableVersion="3" recordCount="151" xr:uid="{CE324A74-3AD9-431A-BE43-12F0EE814832}">
  <cacheSource type="worksheet">
    <worksheetSource ref="A1:W152" sheet="Data"/>
  </cacheSource>
  <cacheFields count="26">
    <cacheField name="Emp_ID" numFmtId="0">
      <sharedItems/>
    </cacheField>
    <cacheField name="Salutation" numFmtId="0">
      <sharedItems count="5">
        <s v="Ms."/>
        <s v="Mr."/>
        <s v="Mrs."/>
        <s v="Mr. "/>
        <s v="Ms. "/>
      </sharedItems>
    </cacheField>
    <cacheField name="First Name" numFmtId="0">
      <sharedItems/>
    </cacheField>
    <cacheField name="Middle Name" numFmtId="0">
      <sharedItems/>
    </cacheField>
    <cacheField name="Last Name" numFmtId="0">
      <sharedItems/>
    </cacheField>
    <cacheField name="Full names" numFmtId="0">
      <sharedItems count="148">
        <s v="Lamya Jihad Qasim"/>
        <s v="Ayman Waleed Ghanem"/>
        <s v="Ahlam Ali Mutwali"/>
        <s v="Ghada Khalid Shadi"/>
        <s v="Pamela Manalo Rosales"/>
        <s v="Kamal Nath Jasrotia"/>
        <s v="Sushil Mohan Kolangde"/>
        <s v="Jenefer Sumera Sanvictores"/>
        <s v="Caridad Sanchez Diaz"/>
        <s v="Madhu Kumar Solanki"/>
        <s v="Girish Kumar Bhatia"/>
        <s v="Bejoy Pal Gangadharan"/>
        <s v="Andrew Morales Mercado"/>
        <s v="Krishnamurthy Kumar Pillai"/>
        <s v="Zayed Bilal Reda"/>
        <s v="Fernando Mendoza Segundo"/>
        <s v="Koushik Kumar Bhattacharya"/>
        <s v="Ahlam Mohammad Rami"/>
        <s v="Yasmin Masoud Abdul Hasseb"/>
        <s v="Alaa Mustafa Ahmed"/>
        <s v="Besan Yaqoub Omar"/>
        <s v="Tahani Nasir Shukri"/>
        <s v="Shaji S Pillai"/>
        <s v="Samya Mahfuz Shukri"/>
        <s v="Geeta Dhilip Bijapurkar"/>
        <s v="Ilyas Saeed Rahman"/>
        <s v="Femi Ade Kabil"/>
        <s v="Jirbeel Karim Essa"/>
        <s v="Salisu Muhammed Bala"/>
        <s v="Omar Ebrahim Mosa"/>
        <s v="Hadija Kamal T"/>
        <s v="Enas Loyai Reda"/>
        <s v="Sujeet Kumar Mitra"/>
        <s v="Matthew Sam Praise"/>
        <s v="Eswar S Babu"/>
        <s v="Majdi Ramz Karim"/>
        <s v="Ruby Daniel James"/>
        <s v="Ahmad Ali Jamil"/>
        <s v="Maher Khaleel Shafiq"/>
        <s v="Robbie Adams Williams"/>
        <s v="Dawood Nizar Dahi"/>
        <s v="Akram Raafat Hani"/>
        <s v="Ahlam Hani Khalid"/>
        <s v="Fahid Laith Al Zaidi"/>
        <s v="Samer Rahman Ali"/>
        <s v="Arun Kumar Sharma"/>
        <s v="Tomas Madrigal Santiago"/>
        <s v="Faiz Khaldoon Al Kendi"/>
        <s v="Mohammad Ramzi Al Rumaithi"/>
        <s v="Jihad Mustafa Osama"/>
        <s v="Katie Dylan Alexander"/>
        <s v="Rasha Ahmed Al Roujoob"/>
        <s v="Hana Ali Rushdi"/>
        <s v="Tag Al Sir Hassan Ahmed"/>
        <s v="Sneha Rajendra Thakur"/>
        <s v="Vinod Gangadhar Pillai"/>
        <s v="Vijay Dinanath Chouhan"/>
        <s v="Pradeep K Dinkar"/>
        <s v="Hani Mohammad Fawzi"/>
        <s v="Jassim Ali Diya"/>
        <s v="Majid Ramzi Shahab"/>
        <s v="Ismail Omeiza Mumin"/>
        <s v="Jenet Olawole Titilomo"/>
        <s v="Hasib Sabah Al Hamadi"/>
        <s v="Afif Basem Rezk"/>
        <s v="Ankur Kumar Dhar"/>
        <s v="Duha Bilal Al Zaidi"/>
        <s v="Yaqoub Mansoor Loyai"/>
        <s v="Jean Montalbo Gregorio"/>
        <s v="Abdul Kadir Mukhtar Usman"/>
        <s v="Pushparaj Vishwanath Shetty"/>
        <s v="Sivakumar N Ravichandran"/>
        <s v="Firas Mutasim Nasir"/>
        <s v="Adeline Adam Absolon"/>
        <s v="Akram Saleem Tahboob"/>
        <s v="Sunita Singh Grewal"/>
        <s v="Amjad Ramzi Reda"/>
        <s v="Hatim Ridwan Al Blooki"/>
        <s v="Rasheed Mohammad Reda"/>
        <s v="Khalid Omar Bustan"/>
        <s v="Sindhu Veluthakkal Sugathan"/>
        <s v="Ivan Maniquis Santos"/>
        <s v="Mustafa Ali Kamal"/>
        <s v="Fahim Rasheed Al Ali"/>
        <s v="Amjad Nabil Waheed"/>
        <s v="Tahir Ghareeb Walid"/>
        <s v="Esmail Anas Al Mansouri"/>
        <s v="Asim bassam Waleed"/>
        <s v="Humaid Khaldoon Al Shamsi"/>
        <s v="Hussain Saif Al Zaabi"/>
        <s v="Ibrahim Mohammad Khader"/>
        <s v="Adrien Alain Alban"/>
        <s v="Jaber Khalifa Hassan"/>
        <s v="Suha Kereem Ayesh"/>
        <s v="Nino Sison Montalbo"/>
        <s v="Indra Rajesh Singh"/>
        <s v="Khalifa Rashid Al Qarni"/>
        <s v="Sabir Bassam Aziz"/>
        <s v="Sheetal Singh Shetti"/>
        <s v="Amer jihad Tahboob"/>
        <s v="Mohammad Ali Mustafa"/>
        <s v="Maher Omar Zaahir"/>
        <s v="Rangarajan Vasudev Balaji"/>
        <s v="Fadi Obada Al Mehairbi"/>
        <s v="Edison Tan Arceo"/>
        <s v="Roderick Cruz Zabala"/>
        <s v="Chetna Mahesh Sharma"/>
        <s v="Malek Khalid Rushdi"/>
        <s v="Jack George Daniel"/>
        <s v="Rakesh Kumar Bhatiya"/>
        <s v="Amrita Pal Chopra"/>
        <s v="Mamdouh Omar Al Azraq"/>
        <s v="David Keating Trash"/>
        <s v="Ronan Cowell Gaile"/>
        <s v="Stephen Gaitley Peterson"/>
        <s v="Ismail Yusha"/>
        <s v="Sunil Balasaheb Tauro"/>
        <s v="Jay Salvador Magboo"/>
        <s v="Julius Ancaja Reyes"/>
        <s v="Ramesh Vishnu Menon"/>
        <s v="Pradeep Singh Katoch"/>
        <s v="Ata ullah dawood Majid"/>
        <s v="yasser Ali Kamel"/>
        <s v="Shazia Hussain Khan"/>
        <s v="Walid waleed Ali"/>
        <s v="hosni Sad Shaheen"/>
        <s v="Ayman Rami Mohammad"/>
        <s v="Mosa waleed Salim"/>
        <s v="Salim Mohammad Al Shamsi"/>
        <s v="Fakhri Rauf Mohammad"/>
        <s v="Rami Habib Al Huda"/>
        <s v="Raid Mohammad Mustafa"/>
        <s v="Raid Hamad Zaabi"/>
        <s v="Tahani Yousef Al Zaraq"/>
        <s v="Ali rami Jabir"/>
        <s v="Haydar Riad Al Qubaisi"/>
        <s v="Omran Salah Mohammad"/>
        <s v="Shaheen sameer Saleem"/>
        <s v="Gorge firas Essa"/>
        <s v="Loyai samer Ibrahim"/>
        <s v="Saeed Haitham Abdullah"/>
        <s v="Abdul Aziz Rajab Qasim"/>
        <s v="Najma Shah Heptullah"/>
        <s v="Robert Aguinaldo Aquino"/>
        <s v="Ali Mohammad Al Shamsi"/>
        <s v="hossam Ali Saeed"/>
        <s v="Mansour Yahya Saad"/>
        <s v="Ahmed Mohammad Khader"/>
      </sharedItems>
    </cacheField>
    <cacheField name="Gender" numFmtId="0">
      <sharedItems count="2">
        <s v="Female"/>
        <s v="Male"/>
      </sharedItems>
    </cacheField>
    <cacheField name="Birth Date" numFmtId="14">
      <sharedItems containsSemiMixedTypes="0" containsNonDate="0" containsDate="1" containsString="0" minDate="1952-04-06T00:00:00" maxDate="1987-08-17T00:00:00"/>
    </cacheField>
    <cacheField name="Age" numFmtId="0">
      <sharedItems containsSemiMixedTypes="0" containsString="0" containsNumber="1" containsInteger="1" minValue="33" maxValue="69" count="28">
        <n v="63"/>
        <n v="54"/>
        <n v="57"/>
        <n v="56"/>
        <n v="52"/>
        <n v="51"/>
        <n v="53"/>
        <n v="49"/>
        <n v="50"/>
        <n v="47"/>
        <n v="46"/>
        <n v="45"/>
        <n v="44"/>
        <n v="41"/>
        <n v="42"/>
        <n v="60"/>
        <n v="55"/>
        <n v="48"/>
        <n v="39"/>
        <n v="40"/>
        <n v="37"/>
        <n v="35"/>
        <n v="38"/>
        <n v="36"/>
        <n v="43"/>
        <n v="69"/>
        <n v="62"/>
        <n v="33"/>
      </sharedItems>
    </cacheField>
    <cacheField name="Age Group" numFmtId="0">
      <sharedItems count="3">
        <s v="50 to 60"/>
        <s v="41 to 50"/>
        <s v="31 to 40"/>
      </sharedItems>
    </cacheField>
    <cacheField name="Religous Faith" numFmtId="0">
      <sharedItems count="3">
        <s v="Muslim"/>
        <s v="Hindu "/>
        <s v="Christian"/>
      </sharedItems>
    </cacheField>
    <cacheField name="Nationality" numFmtId="0">
      <sharedItems count="18">
        <s v="India"/>
        <s v="Palestine"/>
        <s v="Egyptian"/>
        <s v="Philippines"/>
        <s v="Jordan"/>
        <s v="Nigeria"/>
        <s v="United Kingdom"/>
        <s v="Saudi Arabia"/>
        <s v="Lebanon"/>
        <s v="Sudan"/>
        <s v="Kuwait"/>
        <s v="Bahrain"/>
        <s v="Oman"/>
        <s v="France"/>
        <s v="Morocco"/>
        <s v="Syria"/>
        <s v="Yemen"/>
        <s v="UAE"/>
      </sharedItems>
    </cacheField>
    <cacheField name="Marital Status" numFmtId="0">
      <sharedItems count="3">
        <s v="Married"/>
        <s v="Single"/>
        <s v="Divorced"/>
      </sharedItems>
    </cacheField>
    <cacheField name="Mobile Phone" numFmtId="0">
      <sharedItems count="148">
        <s v="+971 69 1846750"/>
        <s v="+962 82 1797294"/>
        <s v="+20 68 3395968"/>
        <s v="+20 44 3301080"/>
        <s v="+971 31 3212364"/>
        <s v="+971 99 4821985"/>
        <s v="+971 60 7278080"/>
        <s v="+965 39 7313760"/>
        <s v="+971 28 7681190"/>
        <s v="+971 64 0820359"/>
        <s v="+971 60 0899840"/>
        <s v="+971 72 0118238"/>
        <s v="+971 28 1941020"/>
        <s v="+971 26 1292195"/>
        <s v="+971 95 1572080"/>
        <s v="+971 56 0968791"/>
        <s v="+971 66 3446072"/>
        <s v="+962 95 2673114"/>
        <s v="+962 53 6294660"/>
        <s v="+962 50 5734922"/>
        <s v="+20 37 3419736"/>
        <s v="+962 88 8976978"/>
        <s v="+971 56 9264536"/>
        <s v="+962 47 3792950"/>
        <s v="+971 95 1960380"/>
        <s v="+20 23 2081248"/>
        <s v="+45 55 5290944"/>
        <s v="+962 83 2584040"/>
        <s v="+974 54 7546970"/>
        <s v="+20 74 7940610"/>
        <s v="+974 37 1999328"/>
        <s v="+962 50 0064848"/>
        <s v="+965 79 0736102"/>
        <s v="+45 22 9633600"/>
        <s v="+965 62 4864588"/>
        <s v="+20 99 3126507"/>
        <s v="+44 78 1528938"/>
        <s v="+971 47 6359934"/>
        <s v="+971 29 3255840"/>
        <s v="+971 76 8871052"/>
        <s v="+971 90 9845998"/>
        <s v="+971 67 1735640"/>
        <s v="+971 23 9126592"/>
        <s v="+966 95 7022635"/>
        <s v="+971 82 7758467"/>
        <s v="+971 60 9637018"/>
        <s v="+971 39 4915456"/>
        <s v="+971 65 2374688"/>
        <s v="+971 30 9154773"/>
        <s v="+971 54 4298300"/>
        <s v="+44 99 0167753"/>
        <s v="+973 38 4579860"/>
        <s v="+20 41 8756886"/>
        <s v="+971 96 7168686"/>
        <s v="+971 78 4277860"/>
        <s v="+971 28 2569048"/>
        <s v="+971 59 0233017"/>
        <s v="+973 32 3467822"/>
        <s v="+965 93 8364542"/>
        <s v="+973 25 8062060"/>
        <s v="+20 83 3032781"/>
        <s v="+49 94 6733306"/>
        <s v="+49 82 7538298"/>
        <s v="+971 90 9143616"/>
        <s v="+965 48 3541205"/>
        <s v="+968 35 3125796"/>
        <s v="+968 85 2791225"/>
        <s v="+968 33 9917168"/>
        <s v="+20 33 4521937"/>
        <s v="+971 76 5578330"/>
        <s v="+971 61 3107214"/>
        <s v="+971 86 8345496"/>
        <s v="+968 77 0257777"/>
        <s v="+33 46 8176570"/>
        <s v="+971 86 0170900"/>
        <s v="+971 92 2546324"/>
        <s v="+971 46 2974162"/>
        <s v="+971 30 1767752"/>
        <s v="+971 64 2758210"/>
        <s v="+971 31 0274880"/>
        <s v="+971 52 5241902"/>
        <s v="+971 87 2054666"/>
        <s v="+971 66 5990721"/>
        <s v="+20 39 9698632"/>
        <s v="+966 24 5177750"/>
        <s v="+966 25 5456234"/>
        <s v="+966 46 3648069"/>
        <s v="+971 92 5190256"/>
        <s v="+971 91 6673095"/>
        <s v="+966 67 5275830"/>
        <s v="+971 83 7870965"/>
        <s v="+33 36 7956964"/>
        <s v="+966 24 0837460"/>
        <s v="+971 34 9569960"/>
        <s v="+971 56 5597515"/>
        <s v="+971 78 4228992"/>
        <s v="+971 56 9593578"/>
        <s v="+971 35 5867306"/>
        <s v="+971 61 6229287"/>
        <s v="+971 63 1501200"/>
        <s v="+971 44 0278820"/>
        <s v="+20 65 1587148"/>
        <s v="+971 62 7855267"/>
        <s v="+971 28 8302712"/>
        <s v="+971 77 3688340"/>
        <s v="+971 86 7193970"/>
        <s v="+971 84 2574147"/>
        <s v="+971 61 6467716"/>
        <s v="+971 30 7946471"/>
        <s v="+971 99 8663430"/>
        <s v="+971 81 8807104"/>
        <s v="+971 81 3263488"/>
        <s v="+971 78 7283121"/>
        <s v="+971 41 4836520"/>
        <s v="+971 56 5561665"/>
        <s v="+971 27 9097536"/>
        <s v="+971 28 0470484"/>
        <s v="+971 72 6647782"/>
        <s v="+971 60 8074253"/>
        <s v="+971 49 7331160"/>
        <s v="+971 26 5121806"/>
        <s v="+971 36 1828956"/>
        <s v="+971 22 5307734"/>
        <s v="+971 46 2716248"/>
        <s v="+971 40 3634500"/>
        <s v="+971 98 3997764"/>
        <s v="+971 25 3975468"/>
        <s v="+971 39 2961280"/>
        <s v="+971 70 1307232"/>
        <s v="+971 76 0339980"/>
        <s v="+971 74 1910009"/>
        <s v="+971 54 8929360"/>
        <s v="+971 24 9888864"/>
        <s v="+971 80 2586192"/>
        <s v="+971 36 3134590"/>
        <s v="+971 66 5020728"/>
        <s v="+971 96 5836459"/>
        <s v="+971 83 7313450"/>
        <s v="+971 23 2479835"/>
        <s v="+971 80 0751000"/>
        <s v="+971 53 0049368"/>
        <s v="+971 31 2728348"/>
        <s v="+971 89 3628352"/>
        <s v="+971 55 8922016"/>
        <s v="+971 95 3593730"/>
        <s v="+971 95 3646028"/>
        <s v="+971 52 3647348"/>
        <s v="+971 54 4403152"/>
      </sharedItems>
    </cacheField>
    <cacheField name="Hire Date" numFmtId="14">
      <sharedItems containsSemiMixedTypes="0" containsNonDate="0" containsDate="1" containsString="0" minDate="1984-07-01T00:00:00" maxDate="2010-01-02T00:00:00" count="104">
        <d v="1984-07-01T00:00:00"/>
        <d v="1990-10-01T00:00:00"/>
        <d v="1992-01-01T00:00:00"/>
        <d v="1992-07-01T00:00:00"/>
        <d v="1992-09-11T00:00:00"/>
        <d v="1992-11-21T00:00:00"/>
        <d v="1994-02-01T00:00:00"/>
        <d v="1994-06-18T00:00:00"/>
        <d v="1995-09-08T00:00:00"/>
        <d v="1997-01-30T00:00:00"/>
        <d v="1997-02-01T00:00:00"/>
        <d v="1997-10-10T00:00:00"/>
        <d v="1997-12-01T00:00:00"/>
        <d v="1998-01-01T00:00:00"/>
        <d v="1998-01-11T00:00:00"/>
        <d v="1999-09-10T00:00:00"/>
        <d v="1999-11-01T00:00:00"/>
        <d v="2000-07-03T00:00:00"/>
        <d v="2000-07-04T00:00:00"/>
        <d v="2000-11-17T00:00:00"/>
        <d v="2000-11-30T00:00:00"/>
        <d v="2000-12-13T00:00:00"/>
        <d v="2001-04-15T00:00:00"/>
        <d v="2001-05-01T00:00:00"/>
        <d v="2001-09-04T00:00:00"/>
        <d v="2001-12-21T00:00:00"/>
        <d v="2002-01-01T00:00:00"/>
        <d v="2002-04-01T00:00:00"/>
        <d v="2002-05-01T00:00:00"/>
        <d v="2003-02-01T00:00:00"/>
        <d v="2003-04-01T00:00:00"/>
        <d v="2004-03-13T00:00:00"/>
        <d v="2004-04-03T00:00:00"/>
        <d v="2004-05-01T00:00:00"/>
        <d v="2004-07-01T00:00:00"/>
        <d v="2004-11-22T00:00:00"/>
        <d v="2005-01-23T00:00:00"/>
        <d v="2005-07-01T00:00:00"/>
        <d v="2005-08-15T00:00:00"/>
        <d v="2006-01-01T00:00:00"/>
        <d v="2006-02-01T00:00:00"/>
        <d v="2006-02-15T00:00:00"/>
        <d v="2006-07-01T00:00:00"/>
        <d v="2006-08-01T00:00:00"/>
        <d v="2006-08-04T00:00:00"/>
        <d v="2006-08-27T00:00:00"/>
        <d v="2006-09-11T00:00:00"/>
        <d v="2006-11-13T00:00:00"/>
        <d v="2007-01-01T00:00:00"/>
        <d v="2007-01-13T00:00:00"/>
        <d v="2007-01-21T00:00:00"/>
        <d v="2007-02-01T00:00:00"/>
        <d v="2007-02-10T00:00:00"/>
        <d v="2007-03-11T00:00:00"/>
        <d v="2007-04-01T00:00:00"/>
        <d v="2007-05-20T00:00:00"/>
        <d v="2007-05-21T00:00:00"/>
        <d v="2007-05-31T00:00:00"/>
        <d v="2007-06-01T00:00:00"/>
        <d v="2007-06-03T00:00:00"/>
        <d v="2007-06-17T00:00:00"/>
        <d v="2007-08-01T00:00:00"/>
        <d v="2007-08-22T00:00:00"/>
        <d v="2007-10-15T00:00:00"/>
        <d v="2007-11-04T00:00:00"/>
        <d v="2007-12-01T00:00:00"/>
        <d v="2007-12-05T00:00:00"/>
        <d v="2008-01-01T00:00:00"/>
        <d v="2008-01-19T00:00:00"/>
        <d v="2008-01-20T00:00:00"/>
        <d v="2008-02-06T00:00:00"/>
        <d v="2008-03-01T00:00:00"/>
        <d v="2008-03-24T00:00:00"/>
        <d v="2008-04-06T00:00:00"/>
        <d v="2008-06-22T00:00:00"/>
        <d v="2008-07-15T00:00:00"/>
        <d v="2008-08-24T00:00:00"/>
        <d v="2008-09-01T00:00:00"/>
        <d v="2008-09-07T00:00:00"/>
        <d v="2008-10-05T00:00:00"/>
        <d v="2008-10-15T00:00:00"/>
        <d v="2008-11-09T00:00:00"/>
        <d v="2008-12-01T00:00:00"/>
        <d v="2008-12-10T00:00:00"/>
        <d v="2009-01-01T00:00:00"/>
        <d v="2009-01-20T00:00:00"/>
        <d v="2009-02-01T00:00:00"/>
        <d v="2009-02-22T00:00:00"/>
        <d v="2009-03-01T00:00:00"/>
        <d v="2009-03-08T00:00:00"/>
        <d v="2009-04-05T00:00:00"/>
        <d v="2009-04-26T00:00:00"/>
        <d v="2009-06-01T00:00:00"/>
        <d v="2009-07-01T00:00:00"/>
        <d v="2009-07-08T00:00:00"/>
        <d v="2009-07-15T00:00:00"/>
        <d v="2009-07-26T00:00:00"/>
        <d v="2009-08-01T00:00:00"/>
        <d v="2009-09-01T00:00:00"/>
        <d v="2009-10-01T00:00:00"/>
        <d v="2009-11-01T00:00:00"/>
        <d v="2009-11-08T00:00:00"/>
        <d v="2009-11-15T00:00:00"/>
        <d v="2010-01-01T00:00:00"/>
      </sharedItems>
      <fieldGroup par="25" base="14">
        <rangePr groupBy="days" startDate="1984-07-01T00:00:00" endDate="2010-01-02T00:00:00"/>
        <groupItems count="368">
          <s v="&lt;01-07-198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1-2010"/>
        </groupItems>
      </fieldGroup>
    </cacheField>
    <cacheField name="Employment Status" numFmtId="0">
      <sharedItems count="2">
        <s v="Active"/>
        <s v="Inactive"/>
      </sharedItems>
    </cacheField>
    <cacheField name="Department" numFmtId="0">
      <sharedItems count="9">
        <s v="Management"/>
        <s v="Sales"/>
        <s v="Administration"/>
        <s v="Information Technology"/>
        <s v="Finance "/>
        <s v="Human Resources"/>
        <s v="Production"/>
        <s v="Logistics"/>
        <s v="Marketing"/>
      </sharedItems>
    </cacheField>
    <cacheField name="Designation" numFmtId="0">
      <sharedItems count="9">
        <s v="President"/>
        <s v="Senior Executive"/>
        <s v="Staff"/>
        <s v="Manager"/>
        <s v="Officer"/>
        <s v="Chief Executive"/>
        <s v="Senior Manager"/>
        <s v="Senior Officer"/>
        <s v="Executive"/>
      </sharedItems>
    </cacheField>
    <cacheField name="Job Level" numFmtId="0">
      <sharedItems count="2">
        <s v="Manager"/>
        <s v="Non-Manager"/>
      </sharedItems>
    </cacheField>
    <cacheField name="Cost Center" numFmtId="0">
      <sharedItems count="3">
        <s v="Shared Services"/>
        <s v="Frozen Food"/>
        <s v="Non-Frozen Food"/>
      </sharedItems>
    </cacheField>
    <cacheField name="Location" numFmtId="0">
      <sharedItems count="14">
        <s v="Abu Dhabi"/>
        <s v="Amman"/>
        <s v="Cairo"/>
        <s v="Dubai"/>
        <s v="Kuwait"/>
        <s v="Lagos"/>
        <s v="Kogi"/>
        <s v="Abuja"/>
        <s v="London"/>
        <s v="Riyadh"/>
        <s v="Manama"/>
        <s v="Kano"/>
        <s v="Muscat"/>
        <s v="Paris"/>
      </sharedItems>
    </cacheField>
    <cacheField name="Office Tel" numFmtId="0">
      <sharedItems/>
    </cacheField>
    <cacheField name="Email" numFmtId="0">
      <sharedItems/>
    </cacheField>
    <cacheField name="Months" numFmtId="0" databaseField="0">
      <fieldGroup base="14">
        <rangePr groupBy="months" startDate="1984-07-01T00:00:00" endDate="2010-01-02T00:00:00"/>
        <groupItems count="14">
          <s v="&lt;01-07-1984"/>
          <s v="Jan"/>
          <s v="Feb"/>
          <s v="Mar"/>
          <s v="Apr"/>
          <s v="May"/>
          <s v="Jun"/>
          <s v="Jul"/>
          <s v="Aug"/>
          <s v="Sep"/>
          <s v="Oct"/>
          <s v="Nov"/>
          <s v="Dec"/>
          <s v="&gt;02-01-2010"/>
        </groupItems>
      </fieldGroup>
    </cacheField>
    <cacheField name="Quarters" numFmtId="0" databaseField="0">
      <fieldGroup base="14">
        <rangePr groupBy="quarters" startDate="1984-07-01T00:00:00" endDate="2010-01-02T00:00:00"/>
        <groupItems count="6">
          <s v="&lt;01-07-1984"/>
          <s v="Qtr1"/>
          <s v="Qtr2"/>
          <s v="Qtr3"/>
          <s v="Qtr4"/>
          <s v="&gt;02-01-2010"/>
        </groupItems>
      </fieldGroup>
    </cacheField>
    <cacheField name="Years" numFmtId="0" databaseField="0">
      <fieldGroup base="14">
        <rangePr groupBy="years" startDate="1984-07-01T00:00:00" endDate="2010-01-02T00:00:00"/>
        <groupItems count="29">
          <s v="&lt;01-07-1984"/>
          <s v="1984"/>
          <s v="1985"/>
          <s v="1986"/>
          <s v="1987"/>
          <s v="1988"/>
          <s v="1989"/>
          <s v="1990"/>
          <s v="1991"/>
          <s v="1992"/>
          <s v="1993"/>
          <s v="1994"/>
          <s v="1995"/>
          <s v="1996"/>
          <s v="1997"/>
          <s v="1998"/>
          <s v="1999"/>
          <s v="2000"/>
          <s v="2001"/>
          <s v="2002"/>
          <s v="2003"/>
          <s v="2004"/>
          <s v="2005"/>
          <s v="2006"/>
          <s v="2007"/>
          <s v="2008"/>
          <s v="2009"/>
          <s v="2010"/>
          <s v="&gt;02-01-2010"/>
        </groupItems>
      </fieldGroup>
    </cacheField>
  </cacheFields>
  <extLst>
    <ext xmlns:x14="http://schemas.microsoft.com/office/spreadsheetml/2009/9/main" uri="{725AE2AE-9491-48be-B2B4-4EB974FC3084}">
      <x14:pivotCacheDefinition pivotCacheId="5145305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
  <r>
    <s v="E001"/>
    <x v="0"/>
    <s v="Heng "/>
    <s v="Sorith"/>
    <s v="Qasim"/>
    <x v="0"/>
    <x v="0"/>
    <d v="1958-03-07T00:00:00"/>
    <x v="0"/>
    <x v="0"/>
    <x v="0"/>
    <x v="0"/>
    <x v="0"/>
    <x v="0"/>
    <x v="0"/>
    <x v="0"/>
    <x v="0"/>
    <x v="0"/>
    <x v="0"/>
    <x v="0"/>
    <x v="0"/>
    <s v="+971 02 1846750"/>
    <s v="Lamya.Qasim@Rare.com"/>
  </r>
  <r>
    <s v="E002"/>
    <x v="1"/>
    <s v="Ayman"/>
    <s v="Waleed"/>
    <s v="Ghanem"/>
    <x v="1"/>
    <x v="1"/>
    <d v="1967-03-04T00:00:00"/>
    <x v="1"/>
    <x v="0"/>
    <x v="0"/>
    <x v="0"/>
    <x v="0"/>
    <x v="1"/>
    <x v="1"/>
    <x v="0"/>
    <x v="1"/>
    <x v="1"/>
    <x v="1"/>
    <x v="1"/>
    <x v="1"/>
    <s v="+962 06 1797294"/>
    <s v="Ayman.Ghanem@Rare.com"/>
  </r>
  <r>
    <s v="E003"/>
    <x v="2"/>
    <s v="Ahlam"/>
    <s v="Ali"/>
    <s v="Mutwali"/>
    <x v="2"/>
    <x v="0"/>
    <d v="1964-04-11T00:00:00"/>
    <x v="2"/>
    <x v="0"/>
    <x v="0"/>
    <x v="1"/>
    <x v="0"/>
    <x v="2"/>
    <x v="2"/>
    <x v="0"/>
    <x v="1"/>
    <x v="2"/>
    <x v="1"/>
    <x v="2"/>
    <x v="2"/>
    <s v="+20 20 3395968"/>
    <s v="Ahlam.Mutwali@Rare.com"/>
  </r>
  <r>
    <s v="E004"/>
    <x v="0"/>
    <s v="Ghada"/>
    <s v="Khalid"/>
    <s v="Shadi"/>
    <x v="3"/>
    <x v="0"/>
    <d v="1966-12-30T00:00:00"/>
    <x v="1"/>
    <x v="0"/>
    <x v="0"/>
    <x v="2"/>
    <x v="0"/>
    <x v="3"/>
    <x v="3"/>
    <x v="0"/>
    <x v="1"/>
    <x v="3"/>
    <x v="0"/>
    <x v="2"/>
    <x v="2"/>
    <s v="+20 20 3301080"/>
    <s v="Ghada.Shadi@Rare.com"/>
  </r>
  <r>
    <s v="E005"/>
    <x v="0"/>
    <s v="Pamela"/>
    <s v="Manalo"/>
    <s v="Rosales"/>
    <x v="4"/>
    <x v="0"/>
    <d v="1965-02-01T00:00:00"/>
    <x v="3"/>
    <x v="0"/>
    <x v="0"/>
    <x v="3"/>
    <x v="0"/>
    <x v="4"/>
    <x v="4"/>
    <x v="1"/>
    <x v="2"/>
    <x v="4"/>
    <x v="1"/>
    <x v="2"/>
    <x v="3"/>
    <s v="+971 04 3212364"/>
    <s v="Pamela.Rosales@Rare.com"/>
  </r>
  <r>
    <s v="E006"/>
    <x v="1"/>
    <s v="Kamal"/>
    <s v="Nath"/>
    <s v="Jasrotia"/>
    <x v="5"/>
    <x v="1"/>
    <d v="1968-11-06T00:00:00"/>
    <x v="4"/>
    <x v="0"/>
    <x v="1"/>
    <x v="0"/>
    <x v="0"/>
    <x v="5"/>
    <x v="5"/>
    <x v="0"/>
    <x v="3"/>
    <x v="3"/>
    <x v="0"/>
    <x v="0"/>
    <x v="3"/>
    <s v="+971 04 4821985"/>
    <s v="Kamal.Jasrotia@Rare.com"/>
  </r>
  <r>
    <s v="E007"/>
    <x v="1"/>
    <s v="Sushil"/>
    <s v="Mohan"/>
    <s v="Kolangde"/>
    <x v="6"/>
    <x v="1"/>
    <d v="1970-07-20T00:00:00"/>
    <x v="5"/>
    <x v="0"/>
    <x v="1"/>
    <x v="0"/>
    <x v="0"/>
    <x v="6"/>
    <x v="6"/>
    <x v="0"/>
    <x v="4"/>
    <x v="4"/>
    <x v="1"/>
    <x v="0"/>
    <x v="3"/>
    <s v="+971 04 7278080"/>
    <s v="Sushil.Kolangde@Rare.com"/>
  </r>
  <r>
    <s v="E008"/>
    <x v="0"/>
    <s v="Jenefer"/>
    <s v="Sumera"/>
    <s v="Sanvictores"/>
    <x v="7"/>
    <x v="0"/>
    <d v="1968-07-13T00:00:00"/>
    <x v="6"/>
    <x v="0"/>
    <x v="0"/>
    <x v="3"/>
    <x v="0"/>
    <x v="7"/>
    <x v="7"/>
    <x v="1"/>
    <x v="1"/>
    <x v="1"/>
    <x v="1"/>
    <x v="1"/>
    <x v="4"/>
    <s v="+965  7313760"/>
    <s v="Jenefer.Sanvictores@Rare.com"/>
  </r>
  <r>
    <s v="E009"/>
    <x v="0"/>
    <s v="Caridad"/>
    <s v="Sanchez"/>
    <s v="Diaz"/>
    <x v="8"/>
    <x v="0"/>
    <d v="1969-09-04T00:00:00"/>
    <x v="5"/>
    <x v="0"/>
    <x v="2"/>
    <x v="3"/>
    <x v="0"/>
    <x v="8"/>
    <x v="8"/>
    <x v="0"/>
    <x v="5"/>
    <x v="1"/>
    <x v="1"/>
    <x v="1"/>
    <x v="0"/>
    <s v="+971 02 7681190"/>
    <s v="Caridad.Diaz@Rare.com"/>
  </r>
  <r>
    <s v="E010"/>
    <x v="1"/>
    <s v="Madhu"/>
    <s v="Kumar"/>
    <s v="Solanki"/>
    <x v="9"/>
    <x v="1"/>
    <d v="1968-06-09T00:00:00"/>
    <x v="6"/>
    <x v="0"/>
    <x v="1"/>
    <x v="0"/>
    <x v="0"/>
    <x v="9"/>
    <x v="9"/>
    <x v="0"/>
    <x v="0"/>
    <x v="5"/>
    <x v="0"/>
    <x v="0"/>
    <x v="3"/>
    <s v="+971 04 10820359"/>
    <s v="Madhu.Solanki@Rare.com"/>
  </r>
  <r>
    <s v="E011"/>
    <x v="1"/>
    <s v="Girish"/>
    <s v="Kumar"/>
    <s v="Bhatia"/>
    <x v="10"/>
    <x v="1"/>
    <d v="1968-03-30T00:00:00"/>
    <x v="6"/>
    <x v="0"/>
    <x v="1"/>
    <x v="0"/>
    <x v="0"/>
    <x v="10"/>
    <x v="10"/>
    <x v="0"/>
    <x v="2"/>
    <x v="3"/>
    <x v="0"/>
    <x v="0"/>
    <x v="3"/>
    <s v="+971 04 10899840"/>
    <s v="Girish.Bhatia@Rare.com"/>
  </r>
  <r>
    <s v="E012"/>
    <x v="1"/>
    <s v="Bejoy"/>
    <s v="Pal"/>
    <s v="Gangadharan"/>
    <x v="11"/>
    <x v="1"/>
    <d v="1969-06-06T00:00:00"/>
    <x v="4"/>
    <x v="0"/>
    <x v="1"/>
    <x v="0"/>
    <x v="0"/>
    <x v="11"/>
    <x v="11"/>
    <x v="0"/>
    <x v="6"/>
    <x v="6"/>
    <x v="0"/>
    <x v="2"/>
    <x v="3"/>
    <s v="+971 04 10118238"/>
    <s v="Bejoy.Gangadharan@Rare.com"/>
  </r>
  <r>
    <s v="E013"/>
    <x v="1"/>
    <s v="Andrew"/>
    <s v="Morales"/>
    <s v="Mercado"/>
    <x v="12"/>
    <x v="1"/>
    <d v="1972-03-09T00:00:00"/>
    <x v="7"/>
    <x v="1"/>
    <x v="0"/>
    <x v="3"/>
    <x v="0"/>
    <x v="12"/>
    <x v="12"/>
    <x v="0"/>
    <x v="6"/>
    <x v="6"/>
    <x v="0"/>
    <x v="1"/>
    <x v="0"/>
    <s v="+971 02 11941020"/>
    <s v="Andrew.Mercado@Rare.com"/>
  </r>
  <r>
    <s v="E014"/>
    <x v="1"/>
    <s v="Krishnamurthy"/>
    <s v="Kumar"/>
    <s v="Pillai"/>
    <x v="13"/>
    <x v="1"/>
    <d v="1971-09-04T00:00:00"/>
    <x v="7"/>
    <x v="1"/>
    <x v="1"/>
    <x v="0"/>
    <x v="0"/>
    <x v="13"/>
    <x v="12"/>
    <x v="0"/>
    <x v="0"/>
    <x v="0"/>
    <x v="0"/>
    <x v="0"/>
    <x v="3"/>
    <s v="+971 04 11292195"/>
    <s v="Krishnamurthy.Pillai@Rare.com"/>
  </r>
  <r>
    <s v="E015"/>
    <x v="1"/>
    <s v="Zayed"/>
    <s v="Bilal"/>
    <s v="Reda"/>
    <x v="14"/>
    <x v="1"/>
    <d v="1970-12-20T00:00:00"/>
    <x v="8"/>
    <x v="1"/>
    <x v="0"/>
    <x v="4"/>
    <x v="0"/>
    <x v="14"/>
    <x v="13"/>
    <x v="1"/>
    <x v="4"/>
    <x v="4"/>
    <x v="1"/>
    <x v="2"/>
    <x v="3"/>
    <s v="+971 04 11572080"/>
    <s v="Zayed.Reda@Rare.com"/>
  </r>
  <r>
    <s v="E016"/>
    <x v="1"/>
    <s v="Fernando"/>
    <s v="Mendoza"/>
    <s v="Segundo"/>
    <x v="15"/>
    <x v="1"/>
    <d v="1971-09-17T00:00:00"/>
    <x v="7"/>
    <x v="1"/>
    <x v="0"/>
    <x v="3"/>
    <x v="0"/>
    <x v="15"/>
    <x v="14"/>
    <x v="0"/>
    <x v="6"/>
    <x v="3"/>
    <x v="0"/>
    <x v="1"/>
    <x v="0"/>
    <s v="+971 02 10968791"/>
    <s v="Fernando.Segundo@Rare.com"/>
  </r>
  <r>
    <s v="E017"/>
    <x v="1"/>
    <s v="Koushik"/>
    <s v="Kumar"/>
    <s v="Bhattacharya"/>
    <x v="16"/>
    <x v="1"/>
    <d v="1973-09-05T00:00:00"/>
    <x v="9"/>
    <x v="1"/>
    <x v="1"/>
    <x v="0"/>
    <x v="0"/>
    <x v="16"/>
    <x v="15"/>
    <x v="0"/>
    <x v="2"/>
    <x v="1"/>
    <x v="1"/>
    <x v="0"/>
    <x v="3"/>
    <s v="+971 04 13446072"/>
    <s v="Koushik.Bhattacharya@Rare.com"/>
  </r>
  <r>
    <s v="E018"/>
    <x v="2"/>
    <s v="Ahlam"/>
    <s v="Mohammad"/>
    <s v="Rami"/>
    <x v="17"/>
    <x v="0"/>
    <d v="1973-10-12T00:00:00"/>
    <x v="9"/>
    <x v="1"/>
    <x v="0"/>
    <x v="4"/>
    <x v="0"/>
    <x v="17"/>
    <x v="15"/>
    <x v="0"/>
    <x v="1"/>
    <x v="3"/>
    <x v="0"/>
    <x v="1"/>
    <x v="1"/>
    <s v="+962 06 12673114"/>
    <s v="Ahlam.Rami@Rare.com"/>
  </r>
  <r>
    <s v="E019"/>
    <x v="0"/>
    <s v="Yasmin"/>
    <s v="Masoud"/>
    <s v="Abdul Hasseb"/>
    <x v="18"/>
    <x v="0"/>
    <d v="1972-01-07T00:00:00"/>
    <x v="7"/>
    <x v="1"/>
    <x v="0"/>
    <x v="4"/>
    <x v="0"/>
    <x v="18"/>
    <x v="15"/>
    <x v="0"/>
    <x v="1"/>
    <x v="7"/>
    <x v="1"/>
    <x v="1"/>
    <x v="1"/>
    <s v="+962 06 16294660"/>
    <s v="Yasmin.Abdul Hasseb@Rare.com"/>
  </r>
  <r>
    <s v="E020"/>
    <x v="2"/>
    <s v="Alaa"/>
    <s v="Mustafa"/>
    <s v="Ahmed"/>
    <x v="19"/>
    <x v="0"/>
    <d v="1974-03-20T00:00:00"/>
    <x v="9"/>
    <x v="1"/>
    <x v="0"/>
    <x v="4"/>
    <x v="0"/>
    <x v="19"/>
    <x v="16"/>
    <x v="0"/>
    <x v="1"/>
    <x v="8"/>
    <x v="1"/>
    <x v="1"/>
    <x v="1"/>
    <s v="+962 06 15734922"/>
    <s v="Alaa.Ahmed@Rare.com"/>
  </r>
  <r>
    <s v="E021"/>
    <x v="0"/>
    <s v="Besan"/>
    <s v="Yaqoub"/>
    <s v="Omar"/>
    <x v="20"/>
    <x v="0"/>
    <d v="1974-04-23T00:00:00"/>
    <x v="9"/>
    <x v="1"/>
    <x v="0"/>
    <x v="2"/>
    <x v="0"/>
    <x v="20"/>
    <x v="17"/>
    <x v="0"/>
    <x v="1"/>
    <x v="3"/>
    <x v="0"/>
    <x v="2"/>
    <x v="2"/>
    <s v="+20 20 13419736"/>
    <s v="Besan.Omar@Rare.com"/>
  </r>
  <r>
    <s v="E022"/>
    <x v="0"/>
    <s v="Tahani"/>
    <s v="Nasir"/>
    <s v="Shukri"/>
    <x v="21"/>
    <x v="0"/>
    <d v="1972-06-28T00:00:00"/>
    <x v="7"/>
    <x v="1"/>
    <x v="0"/>
    <x v="2"/>
    <x v="0"/>
    <x v="21"/>
    <x v="18"/>
    <x v="0"/>
    <x v="1"/>
    <x v="1"/>
    <x v="1"/>
    <x v="1"/>
    <x v="1"/>
    <s v="+962 06 18976978"/>
    <s v="Tahani.Shukri@Rare.com"/>
  </r>
  <r>
    <s v="E023"/>
    <x v="1"/>
    <s v="Shaji"/>
    <s v="S"/>
    <s v="Pillai"/>
    <x v="22"/>
    <x v="1"/>
    <d v="1974-12-22T00:00:00"/>
    <x v="10"/>
    <x v="1"/>
    <x v="1"/>
    <x v="0"/>
    <x v="0"/>
    <x v="22"/>
    <x v="19"/>
    <x v="0"/>
    <x v="4"/>
    <x v="1"/>
    <x v="1"/>
    <x v="2"/>
    <x v="3"/>
    <s v="+971 04 19264536"/>
    <s v="Shaji.Pillai@Rare.com"/>
  </r>
  <r>
    <s v="E024"/>
    <x v="2"/>
    <s v="Samya"/>
    <s v="Mahfuz"/>
    <s v="Shukri"/>
    <x v="23"/>
    <x v="0"/>
    <d v="1973-11-03T00:00:00"/>
    <x v="9"/>
    <x v="1"/>
    <x v="0"/>
    <x v="2"/>
    <x v="0"/>
    <x v="23"/>
    <x v="20"/>
    <x v="0"/>
    <x v="1"/>
    <x v="4"/>
    <x v="1"/>
    <x v="1"/>
    <x v="1"/>
    <s v="+962 06 13792950"/>
    <s v="Samya.Shukri@Rare.com"/>
  </r>
  <r>
    <s v="E025"/>
    <x v="0"/>
    <s v="Geeta"/>
    <s v="Dhilip"/>
    <s v="Bijapurkar"/>
    <x v="24"/>
    <x v="0"/>
    <d v="1970-03-16T00:00:00"/>
    <x v="5"/>
    <x v="0"/>
    <x v="1"/>
    <x v="0"/>
    <x v="0"/>
    <x v="24"/>
    <x v="21"/>
    <x v="1"/>
    <x v="5"/>
    <x v="1"/>
    <x v="1"/>
    <x v="2"/>
    <x v="3"/>
    <s v="+971 04 21960380"/>
    <s v="Suraj.Murthy@Rare.com"/>
  </r>
  <r>
    <s v="E026"/>
    <x v="3"/>
    <s v="Ilyas"/>
    <s v="Saeed"/>
    <s v="Rahman"/>
    <x v="25"/>
    <x v="1"/>
    <d v="1976-02-28T00:00:00"/>
    <x v="11"/>
    <x v="1"/>
    <x v="0"/>
    <x v="2"/>
    <x v="0"/>
    <x v="25"/>
    <x v="22"/>
    <x v="0"/>
    <x v="1"/>
    <x v="1"/>
    <x v="1"/>
    <x v="2"/>
    <x v="2"/>
    <s v="+20 20 22081248"/>
    <s v="Ilyas.Rahman@Rare.com"/>
  </r>
  <r>
    <s v="E027"/>
    <x v="1"/>
    <s v="Femi"/>
    <s v="Ade"/>
    <s v="Kabil"/>
    <x v="26"/>
    <x v="0"/>
    <d v="1976-06-06T00:00:00"/>
    <x v="11"/>
    <x v="1"/>
    <x v="2"/>
    <x v="5"/>
    <x v="0"/>
    <x v="26"/>
    <x v="23"/>
    <x v="0"/>
    <x v="1"/>
    <x v="3"/>
    <x v="0"/>
    <x v="1"/>
    <x v="5"/>
    <s v="+45 45 25290944"/>
    <s v="Femi.AdeKabil@Rare.com"/>
  </r>
  <r>
    <s v="E028"/>
    <x v="1"/>
    <s v="Jirbeel"/>
    <s v="Karim"/>
    <s v="Essa"/>
    <x v="27"/>
    <x v="1"/>
    <d v="1977-01-16T00:00:00"/>
    <x v="12"/>
    <x v="1"/>
    <x v="0"/>
    <x v="4"/>
    <x v="0"/>
    <x v="27"/>
    <x v="24"/>
    <x v="0"/>
    <x v="1"/>
    <x v="4"/>
    <x v="1"/>
    <x v="1"/>
    <x v="1"/>
    <s v="+962 06 22584040"/>
    <s v="Jirbeel.Essa@Rare.com"/>
  </r>
  <r>
    <s v="E029"/>
    <x v="1"/>
    <s v="Salisu"/>
    <s v="Muhammed"/>
    <s v="Bala"/>
    <x v="28"/>
    <x v="0"/>
    <d v="1976-03-21T00:00:00"/>
    <x v="11"/>
    <x v="1"/>
    <x v="0"/>
    <x v="5"/>
    <x v="0"/>
    <x v="28"/>
    <x v="25"/>
    <x v="0"/>
    <x v="1"/>
    <x v="8"/>
    <x v="1"/>
    <x v="1"/>
    <x v="6"/>
    <s v="+974  17546970"/>
    <s v="Salisu.MuhammedBala@Rare.com"/>
  </r>
  <r>
    <s v="E030"/>
    <x v="1"/>
    <s v="Omar"/>
    <s v="Ebrahim"/>
    <s v="Mosa"/>
    <x v="29"/>
    <x v="1"/>
    <d v="1976-02-18T00:00:00"/>
    <x v="11"/>
    <x v="1"/>
    <x v="0"/>
    <x v="2"/>
    <x v="0"/>
    <x v="29"/>
    <x v="25"/>
    <x v="0"/>
    <x v="1"/>
    <x v="3"/>
    <x v="0"/>
    <x v="2"/>
    <x v="2"/>
    <s v="+20 20 27940610"/>
    <s v="Omar.Mosa@Rare.com"/>
  </r>
  <r>
    <s v="E031"/>
    <x v="1"/>
    <s v="Hadija"/>
    <s v="Kammal"/>
    <s v="T"/>
    <x v="30"/>
    <x v="1"/>
    <d v="1975-06-27T00:00:00"/>
    <x v="10"/>
    <x v="1"/>
    <x v="0"/>
    <x v="5"/>
    <x v="0"/>
    <x v="30"/>
    <x v="26"/>
    <x v="1"/>
    <x v="1"/>
    <x v="3"/>
    <x v="0"/>
    <x v="1"/>
    <x v="6"/>
    <s v="+974  31999328"/>
    <s v="Hadija.KamalT@Rare.com"/>
  </r>
  <r>
    <s v="E032"/>
    <x v="4"/>
    <s v="Enas"/>
    <s v="Loyai"/>
    <s v="Reda"/>
    <x v="31"/>
    <x v="0"/>
    <d v="1970-05-12T00:00:00"/>
    <x v="5"/>
    <x v="0"/>
    <x v="0"/>
    <x v="4"/>
    <x v="0"/>
    <x v="31"/>
    <x v="27"/>
    <x v="0"/>
    <x v="1"/>
    <x v="4"/>
    <x v="1"/>
    <x v="1"/>
    <x v="1"/>
    <s v="+962 06 30064848"/>
    <s v="Enas.Reda@Rare.com"/>
  </r>
  <r>
    <s v="E033"/>
    <x v="1"/>
    <s v="Sujeet"/>
    <s v="Kumar"/>
    <s v="Mitra"/>
    <x v="32"/>
    <x v="1"/>
    <d v="1976-10-01T00:00:00"/>
    <x v="12"/>
    <x v="1"/>
    <x v="1"/>
    <x v="0"/>
    <x v="0"/>
    <x v="32"/>
    <x v="28"/>
    <x v="0"/>
    <x v="1"/>
    <x v="3"/>
    <x v="0"/>
    <x v="1"/>
    <x v="4"/>
    <s v="+965  30736102"/>
    <s v="Sujeet.Mitra@Rare.com"/>
  </r>
  <r>
    <s v="E034"/>
    <x v="2"/>
    <s v="Matthew "/>
    <s v="Sam"/>
    <s v="Praise"/>
    <x v="33"/>
    <x v="0"/>
    <d v="1976-11-10T00:00:00"/>
    <x v="12"/>
    <x v="1"/>
    <x v="2"/>
    <x v="5"/>
    <x v="1"/>
    <x v="33"/>
    <x v="29"/>
    <x v="0"/>
    <x v="1"/>
    <x v="8"/>
    <x v="1"/>
    <x v="1"/>
    <x v="7"/>
    <s v="+45 45 19633600"/>
    <s v="Matthew.SamPraise@Rare.com"/>
  </r>
  <r>
    <s v="E035"/>
    <x v="1"/>
    <s v="Eswar"/>
    <s v="S"/>
    <s v="Babu"/>
    <x v="34"/>
    <x v="1"/>
    <d v="1980-02-28T00:00:00"/>
    <x v="13"/>
    <x v="1"/>
    <x v="1"/>
    <x v="0"/>
    <x v="1"/>
    <x v="34"/>
    <x v="29"/>
    <x v="0"/>
    <x v="1"/>
    <x v="1"/>
    <x v="1"/>
    <x v="1"/>
    <x v="4"/>
    <s v="+965  24864588"/>
    <s v="Eswar.Babu@Rare.com"/>
  </r>
  <r>
    <s v="E036"/>
    <x v="1"/>
    <s v="Majdi"/>
    <s v="Ramz"/>
    <s v="Karim"/>
    <x v="35"/>
    <x v="1"/>
    <d v="1978-11-11T00:00:00"/>
    <x v="14"/>
    <x v="1"/>
    <x v="0"/>
    <x v="2"/>
    <x v="0"/>
    <x v="35"/>
    <x v="30"/>
    <x v="0"/>
    <x v="1"/>
    <x v="1"/>
    <x v="1"/>
    <x v="2"/>
    <x v="2"/>
    <s v="+20 20 33126507"/>
    <s v="Majdi.Karim@Rare.com"/>
  </r>
  <r>
    <s v="E037"/>
    <x v="2"/>
    <s v="Ruby"/>
    <s v="Daniel"/>
    <s v="James"/>
    <x v="36"/>
    <x v="0"/>
    <d v="1977-06-18T00:00:00"/>
    <x v="12"/>
    <x v="1"/>
    <x v="2"/>
    <x v="6"/>
    <x v="0"/>
    <x v="36"/>
    <x v="30"/>
    <x v="0"/>
    <x v="1"/>
    <x v="3"/>
    <x v="0"/>
    <x v="2"/>
    <x v="8"/>
    <s v="+44 20 21528938"/>
    <s v="Ruby.James@Rare.com"/>
  </r>
  <r>
    <s v="E038"/>
    <x v="1"/>
    <s v="Ahmad"/>
    <s v="Ali"/>
    <s v="Jamil"/>
    <x v="37"/>
    <x v="1"/>
    <d v="1960-11-29T00:00:00"/>
    <x v="15"/>
    <x v="0"/>
    <x v="0"/>
    <x v="4"/>
    <x v="0"/>
    <x v="37"/>
    <x v="31"/>
    <x v="1"/>
    <x v="2"/>
    <x v="4"/>
    <x v="1"/>
    <x v="0"/>
    <x v="3"/>
    <s v="+971 04 36359934"/>
    <s v="Ahmad.Jamil@Rare.com"/>
  </r>
  <r>
    <s v="E039"/>
    <x v="1"/>
    <s v="Maher"/>
    <s v="Khaleel"/>
    <s v="Shafiq"/>
    <x v="38"/>
    <x v="1"/>
    <d v="1971-03-22T00:00:00"/>
    <x v="8"/>
    <x v="1"/>
    <x v="0"/>
    <x v="4"/>
    <x v="0"/>
    <x v="38"/>
    <x v="31"/>
    <x v="0"/>
    <x v="3"/>
    <x v="8"/>
    <x v="1"/>
    <x v="0"/>
    <x v="0"/>
    <s v="+971 02 33255840"/>
    <s v="Maher.Shafiq@Rare.com"/>
  </r>
  <r>
    <s v="E040"/>
    <x v="1"/>
    <s v="Robbie"/>
    <s v="Adams"/>
    <s v="Williams"/>
    <x v="39"/>
    <x v="1"/>
    <d v="1961-02-03T00:00:00"/>
    <x v="15"/>
    <x v="0"/>
    <x v="2"/>
    <x v="3"/>
    <x v="0"/>
    <x v="39"/>
    <x v="31"/>
    <x v="0"/>
    <x v="7"/>
    <x v="3"/>
    <x v="0"/>
    <x v="1"/>
    <x v="3"/>
    <s v="+971 04 28871052"/>
    <s v="Robbie.Williams@Rare.com"/>
  </r>
  <r>
    <s v="E041"/>
    <x v="1"/>
    <s v="Dawood"/>
    <s v="Nizar"/>
    <s v="Dahi"/>
    <x v="40"/>
    <x v="1"/>
    <d v="1972-01-20T00:00:00"/>
    <x v="7"/>
    <x v="1"/>
    <x v="0"/>
    <x v="2"/>
    <x v="0"/>
    <x v="40"/>
    <x v="32"/>
    <x v="0"/>
    <x v="0"/>
    <x v="0"/>
    <x v="0"/>
    <x v="0"/>
    <x v="3"/>
    <s v="+971 04 29845998"/>
    <s v="Dawood.Dahi@Rare.com"/>
  </r>
  <r>
    <s v="E042"/>
    <x v="1"/>
    <s v="Akram"/>
    <s v="Raafat"/>
    <s v="Hani"/>
    <x v="41"/>
    <x v="1"/>
    <d v="1979-07-04T00:00:00"/>
    <x v="14"/>
    <x v="1"/>
    <x v="0"/>
    <x v="1"/>
    <x v="1"/>
    <x v="41"/>
    <x v="33"/>
    <x v="0"/>
    <x v="6"/>
    <x v="1"/>
    <x v="1"/>
    <x v="1"/>
    <x v="0"/>
    <s v="+971 02 21735640"/>
    <s v="Akram.Hani@Rare.com"/>
  </r>
  <r>
    <s v="E043"/>
    <x v="0"/>
    <s v="Ahlam"/>
    <s v="Hani"/>
    <s v="Khalid"/>
    <x v="42"/>
    <x v="0"/>
    <d v="1967-07-25T00:00:00"/>
    <x v="1"/>
    <x v="0"/>
    <x v="0"/>
    <x v="4"/>
    <x v="1"/>
    <x v="42"/>
    <x v="34"/>
    <x v="0"/>
    <x v="4"/>
    <x v="1"/>
    <x v="1"/>
    <x v="0"/>
    <x v="3"/>
    <s v="+971 04 29126592"/>
    <s v="Ahlam.Khalid@Rare.com"/>
  </r>
  <r>
    <s v="E044"/>
    <x v="1"/>
    <s v="Fahid"/>
    <s v="Laith"/>
    <s v="Al Zaidi"/>
    <x v="43"/>
    <x v="1"/>
    <d v="1968-08-01T00:00:00"/>
    <x v="6"/>
    <x v="0"/>
    <x v="0"/>
    <x v="7"/>
    <x v="0"/>
    <x v="43"/>
    <x v="35"/>
    <x v="0"/>
    <x v="8"/>
    <x v="8"/>
    <x v="1"/>
    <x v="1"/>
    <x v="9"/>
    <s v="+966 1 27022635"/>
    <s v="Fahid.Al Zaidi@Rare.com"/>
  </r>
  <r>
    <s v="E148"/>
    <x v="3"/>
    <s v="Samer"/>
    <s v="Rahman"/>
    <s v="Ali"/>
    <x v="44"/>
    <x v="1"/>
    <d v="1966-01-01T00:00:00"/>
    <x v="16"/>
    <x v="0"/>
    <x v="0"/>
    <x v="4"/>
    <x v="0"/>
    <x v="44"/>
    <x v="36"/>
    <x v="1"/>
    <x v="6"/>
    <x v="4"/>
    <x v="1"/>
    <x v="1"/>
    <x v="0"/>
    <s v="+971 02 87758467"/>
    <s v="Samer.Ali@Rare.com"/>
  </r>
  <r>
    <s v="E045"/>
    <x v="1"/>
    <s v="Arun"/>
    <s v="Kumar"/>
    <s v="Sharma"/>
    <x v="45"/>
    <x v="1"/>
    <d v="1974-01-21T00:00:00"/>
    <x v="9"/>
    <x v="1"/>
    <x v="1"/>
    <x v="0"/>
    <x v="0"/>
    <x v="45"/>
    <x v="37"/>
    <x v="0"/>
    <x v="6"/>
    <x v="2"/>
    <x v="1"/>
    <x v="2"/>
    <x v="3"/>
    <s v="+971 04 29637018"/>
    <s v="Arun.Sharma@Rare.com"/>
  </r>
  <r>
    <s v="E046"/>
    <x v="1"/>
    <s v="Tomas"/>
    <s v="Madrigal"/>
    <s v="Santiago"/>
    <x v="46"/>
    <x v="1"/>
    <d v="1973-02-19T00:00:00"/>
    <x v="17"/>
    <x v="1"/>
    <x v="2"/>
    <x v="3"/>
    <x v="1"/>
    <x v="46"/>
    <x v="38"/>
    <x v="0"/>
    <x v="7"/>
    <x v="1"/>
    <x v="1"/>
    <x v="2"/>
    <x v="0"/>
    <s v="+971 02 44915456"/>
    <s v="Tomas.Santiago@Rare.com"/>
  </r>
  <r>
    <s v="E047"/>
    <x v="1"/>
    <s v="Faiz"/>
    <s v="Khaldoon"/>
    <s v="Al Kendi"/>
    <x v="47"/>
    <x v="1"/>
    <d v="1969-05-02T00:00:00"/>
    <x v="4"/>
    <x v="0"/>
    <x v="0"/>
    <x v="1"/>
    <x v="0"/>
    <x v="47"/>
    <x v="39"/>
    <x v="0"/>
    <x v="6"/>
    <x v="2"/>
    <x v="1"/>
    <x v="1"/>
    <x v="0"/>
    <s v="+971 02 42374688"/>
    <s v="Faiz.Al Kendi@Rare.com"/>
  </r>
  <r>
    <s v="E048"/>
    <x v="1"/>
    <s v="Mohammad"/>
    <s v="Ramzi"/>
    <s v="Al Rumaithi"/>
    <x v="48"/>
    <x v="1"/>
    <d v="1973-09-20T00:00:00"/>
    <x v="9"/>
    <x v="1"/>
    <x v="0"/>
    <x v="8"/>
    <x v="0"/>
    <x v="48"/>
    <x v="40"/>
    <x v="0"/>
    <x v="6"/>
    <x v="3"/>
    <x v="0"/>
    <x v="1"/>
    <x v="0"/>
    <s v="+971 02 39154773"/>
    <s v="Mohammad.Al Rumaithi@Rare.com"/>
  </r>
  <r>
    <s v="E049"/>
    <x v="1"/>
    <s v="Jihad"/>
    <s v="Mustafa"/>
    <s v="Osama"/>
    <x v="49"/>
    <x v="1"/>
    <d v="1981-08-30T00:00:00"/>
    <x v="18"/>
    <x v="2"/>
    <x v="0"/>
    <x v="1"/>
    <x v="0"/>
    <x v="49"/>
    <x v="40"/>
    <x v="0"/>
    <x v="6"/>
    <x v="7"/>
    <x v="1"/>
    <x v="2"/>
    <x v="3"/>
    <s v="+971 04 34298300"/>
    <s v="Jihad.Osama@Rare.com"/>
  </r>
  <r>
    <s v="E050"/>
    <x v="0"/>
    <s v="Katie"/>
    <s v="Dylan"/>
    <s v="Alexander"/>
    <x v="50"/>
    <x v="0"/>
    <d v="1981-03-10T00:00:00"/>
    <x v="19"/>
    <x v="2"/>
    <x v="2"/>
    <x v="6"/>
    <x v="1"/>
    <x v="50"/>
    <x v="41"/>
    <x v="0"/>
    <x v="1"/>
    <x v="8"/>
    <x v="1"/>
    <x v="2"/>
    <x v="8"/>
    <s v="+44 20 40167753"/>
    <s v="Katie.Alexander@Rare.com"/>
  </r>
  <r>
    <s v="E051"/>
    <x v="0"/>
    <s v="Rasha"/>
    <s v="Ahmed"/>
    <s v="Al Roujoob"/>
    <x v="51"/>
    <x v="0"/>
    <d v="1983-08-04T00:00:00"/>
    <x v="20"/>
    <x v="2"/>
    <x v="0"/>
    <x v="4"/>
    <x v="1"/>
    <x v="51"/>
    <x v="42"/>
    <x v="1"/>
    <x v="1"/>
    <x v="8"/>
    <x v="1"/>
    <x v="2"/>
    <x v="10"/>
    <s v="+973  44579860"/>
    <s v="Rasha.Al Roujoob@Rare.com"/>
  </r>
  <r>
    <s v="E052"/>
    <x v="0"/>
    <s v="Hana"/>
    <s v="Ali"/>
    <s v="Rushdi"/>
    <x v="52"/>
    <x v="0"/>
    <d v="1978-08-29T00:00:00"/>
    <x v="14"/>
    <x v="1"/>
    <x v="0"/>
    <x v="2"/>
    <x v="0"/>
    <x v="52"/>
    <x v="43"/>
    <x v="0"/>
    <x v="1"/>
    <x v="4"/>
    <x v="1"/>
    <x v="2"/>
    <x v="2"/>
    <s v="+20 20 38756886"/>
    <s v="Hana.Rushdi@Rare.com"/>
  </r>
  <r>
    <s v="E053"/>
    <x v="1"/>
    <s v="Tag Al Sir"/>
    <s v="Hassan"/>
    <s v="Ahmed"/>
    <x v="53"/>
    <x v="1"/>
    <d v="1985-08-09T00:00:00"/>
    <x v="21"/>
    <x v="2"/>
    <x v="0"/>
    <x v="9"/>
    <x v="1"/>
    <x v="53"/>
    <x v="44"/>
    <x v="0"/>
    <x v="6"/>
    <x v="2"/>
    <x v="1"/>
    <x v="1"/>
    <x v="0"/>
    <s v="+971 02 37168686"/>
    <s v="Tag Al Sir.Ahmed@Rare.com"/>
  </r>
  <r>
    <s v="E054"/>
    <x v="2"/>
    <s v="Sneha"/>
    <s v="Rajendra"/>
    <s v="Thakur"/>
    <x v="54"/>
    <x v="0"/>
    <d v="1980-04-03T00:00:00"/>
    <x v="13"/>
    <x v="1"/>
    <x v="1"/>
    <x v="0"/>
    <x v="0"/>
    <x v="54"/>
    <x v="45"/>
    <x v="0"/>
    <x v="4"/>
    <x v="3"/>
    <x v="0"/>
    <x v="0"/>
    <x v="3"/>
    <s v="+971 04 44277860"/>
    <s v="Sneha.Thakur@Rare.com"/>
  </r>
  <r>
    <s v="E055"/>
    <x v="1"/>
    <s v="Vinod"/>
    <s v="Gangadhar"/>
    <s v="Pillai"/>
    <x v="55"/>
    <x v="1"/>
    <d v="1961-07-17T00:00:00"/>
    <x v="15"/>
    <x v="0"/>
    <x v="1"/>
    <x v="0"/>
    <x v="0"/>
    <x v="55"/>
    <x v="46"/>
    <x v="0"/>
    <x v="6"/>
    <x v="2"/>
    <x v="1"/>
    <x v="1"/>
    <x v="0"/>
    <s v="+971 02 52569048"/>
    <s v="Vinod.Pillai@Rare.com"/>
  </r>
  <r>
    <s v="E056"/>
    <x v="1"/>
    <s v="Vijay"/>
    <s v="Dinanath"/>
    <s v="Chouhan"/>
    <x v="56"/>
    <x v="1"/>
    <d v="1982-08-23T00:00:00"/>
    <x v="22"/>
    <x v="2"/>
    <x v="1"/>
    <x v="0"/>
    <x v="1"/>
    <x v="56"/>
    <x v="47"/>
    <x v="0"/>
    <x v="2"/>
    <x v="1"/>
    <x v="1"/>
    <x v="1"/>
    <x v="0"/>
    <s v="+971 02 50233017"/>
    <s v="Vijay.Chouhan@Rare.com"/>
  </r>
  <r>
    <s v="E057"/>
    <x v="1"/>
    <s v="Pradeep"/>
    <s v="K"/>
    <s v="Dinkar"/>
    <x v="57"/>
    <x v="1"/>
    <d v="1972-04-10T00:00:00"/>
    <x v="7"/>
    <x v="1"/>
    <x v="1"/>
    <x v="0"/>
    <x v="0"/>
    <x v="57"/>
    <x v="48"/>
    <x v="1"/>
    <x v="1"/>
    <x v="3"/>
    <x v="0"/>
    <x v="2"/>
    <x v="10"/>
    <s v="+973  53467822"/>
    <s v="Pradeep.Dinkar@Rare.com"/>
  </r>
  <r>
    <s v="E058"/>
    <x v="1"/>
    <s v="Hani"/>
    <s v="Mohammad"/>
    <s v="Fawzi"/>
    <x v="58"/>
    <x v="1"/>
    <d v="1983-04-11T00:00:00"/>
    <x v="22"/>
    <x v="2"/>
    <x v="0"/>
    <x v="10"/>
    <x v="0"/>
    <x v="58"/>
    <x v="49"/>
    <x v="0"/>
    <x v="1"/>
    <x v="7"/>
    <x v="1"/>
    <x v="2"/>
    <x v="4"/>
    <s v="+965  48364542"/>
    <s v="Hani.Fawzi@Rare.com"/>
  </r>
  <r>
    <s v="E059"/>
    <x v="1"/>
    <s v="Jassim"/>
    <s v="Ali"/>
    <s v="Diya"/>
    <x v="59"/>
    <x v="1"/>
    <d v="1980-11-18T00:00:00"/>
    <x v="19"/>
    <x v="2"/>
    <x v="0"/>
    <x v="11"/>
    <x v="0"/>
    <x v="59"/>
    <x v="49"/>
    <x v="0"/>
    <x v="1"/>
    <x v="8"/>
    <x v="1"/>
    <x v="2"/>
    <x v="10"/>
    <s v="+973  58062060"/>
    <s v="Jassim.Diya@Rare.com"/>
  </r>
  <r>
    <s v="E060"/>
    <x v="1"/>
    <s v="Majid"/>
    <s v="Ramzi"/>
    <s v="Shahab"/>
    <x v="60"/>
    <x v="1"/>
    <d v="1982-01-17T00:00:00"/>
    <x v="18"/>
    <x v="2"/>
    <x v="0"/>
    <x v="2"/>
    <x v="0"/>
    <x v="60"/>
    <x v="49"/>
    <x v="0"/>
    <x v="1"/>
    <x v="7"/>
    <x v="1"/>
    <x v="2"/>
    <x v="2"/>
    <s v="+20 20 33032781"/>
    <s v="Majid.Shahab@Rare.com"/>
  </r>
  <r>
    <s v="E061"/>
    <x v="0"/>
    <s v="ismail"/>
    <s v="Omeiza"/>
    <s v="Mumin"/>
    <x v="61"/>
    <x v="1"/>
    <d v="1984-10-21T00:00:00"/>
    <x v="23"/>
    <x v="2"/>
    <x v="0"/>
    <x v="5"/>
    <x v="1"/>
    <x v="61"/>
    <x v="49"/>
    <x v="0"/>
    <x v="1"/>
    <x v="3"/>
    <x v="0"/>
    <x v="2"/>
    <x v="7"/>
    <s v="+49 89 46733306"/>
    <s v="IsmailOmeiza.Mumin@Rare.com"/>
  </r>
  <r>
    <s v="E062"/>
    <x v="1"/>
    <s v="Janet"/>
    <s v="Olawole"/>
    <s v="Titilomo"/>
    <x v="62"/>
    <x v="1"/>
    <d v="1981-09-23T00:00:00"/>
    <x v="18"/>
    <x v="2"/>
    <x v="2"/>
    <x v="5"/>
    <x v="1"/>
    <x v="62"/>
    <x v="49"/>
    <x v="0"/>
    <x v="1"/>
    <x v="8"/>
    <x v="1"/>
    <x v="2"/>
    <x v="11"/>
    <s v="+49 89 37538298"/>
    <s v="JenetOlawole.Titilomo@Rare.com"/>
  </r>
  <r>
    <s v="E063"/>
    <x v="1"/>
    <s v="Hasib"/>
    <s v="Sabah"/>
    <s v="Al Hamadi"/>
    <x v="63"/>
    <x v="1"/>
    <d v="1974-03-01T00:00:00"/>
    <x v="9"/>
    <x v="1"/>
    <x v="0"/>
    <x v="4"/>
    <x v="1"/>
    <x v="63"/>
    <x v="50"/>
    <x v="0"/>
    <x v="7"/>
    <x v="7"/>
    <x v="1"/>
    <x v="2"/>
    <x v="3"/>
    <s v="+971 04 59143616"/>
    <s v="Hasib.Al Hamadi@Rare.com"/>
  </r>
  <r>
    <s v="E064"/>
    <x v="1"/>
    <s v="Afif"/>
    <s v="Basem"/>
    <s v="Rezk"/>
    <x v="64"/>
    <x v="1"/>
    <d v="1980-10-10T00:00:00"/>
    <x v="19"/>
    <x v="2"/>
    <x v="0"/>
    <x v="4"/>
    <x v="1"/>
    <x v="64"/>
    <x v="51"/>
    <x v="0"/>
    <x v="1"/>
    <x v="7"/>
    <x v="1"/>
    <x v="2"/>
    <x v="4"/>
    <s v="+965  63541205"/>
    <s v="Afif.Rezk@Rare.com"/>
  </r>
  <r>
    <s v="E065"/>
    <x v="1"/>
    <s v="Ankur"/>
    <s v="Kumar"/>
    <s v="Dhar"/>
    <x v="65"/>
    <x v="1"/>
    <d v="1965-02-01T00:00:00"/>
    <x v="3"/>
    <x v="0"/>
    <x v="1"/>
    <x v="0"/>
    <x v="0"/>
    <x v="65"/>
    <x v="52"/>
    <x v="0"/>
    <x v="1"/>
    <x v="3"/>
    <x v="0"/>
    <x v="2"/>
    <x v="12"/>
    <s v="+968  33125796"/>
    <s v="Ankur.Dhar@Rare.com"/>
  </r>
  <r>
    <s v="E066"/>
    <x v="1"/>
    <s v="Duha"/>
    <s v="Bilal"/>
    <s v="Al Zaidi"/>
    <x v="66"/>
    <x v="1"/>
    <d v="1981-09-02T00:00:00"/>
    <x v="18"/>
    <x v="2"/>
    <x v="0"/>
    <x v="12"/>
    <x v="0"/>
    <x v="66"/>
    <x v="52"/>
    <x v="1"/>
    <x v="1"/>
    <x v="8"/>
    <x v="1"/>
    <x v="2"/>
    <x v="12"/>
    <s v="+968  42791225"/>
    <s v="Duha.Al Zaidi@Rare.com"/>
  </r>
  <r>
    <s v="E067"/>
    <x v="1"/>
    <s v="Yaqoub"/>
    <s v="Mansoor"/>
    <s v="Loyai"/>
    <x v="67"/>
    <x v="1"/>
    <d v="1975-04-27T00:00:00"/>
    <x v="10"/>
    <x v="1"/>
    <x v="0"/>
    <x v="12"/>
    <x v="0"/>
    <x v="67"/>
    <x v="52"/>
    <x v="0"/>
    <x v="1"/>
    <x v="8"/>
    <x v="1"/>
    <x v="2"/>
    <x v="12"/>
    <s v="+968  49917168"/>
    <s v="Yaqoub.Loyai@Rare.com"/>
  </r>
  <r>
    <s v="E068"/>
    <x v="4"/>
    <s v="Jean"/>
    <s v="Montalbo"/>
    <s v="Gregorio"/>
    <x v="68"/>
    <x v="0"/>
    <d v="1975-04-10T00:00:00"/>
    <x v="10"/>
    <x v="1"/>
    <x v="2"/>
    <x v="2"/>
    <x v="0"/>
    <x v="68"/>
    <x v="53"/>
    <x v="0"/>
    <x v="8"/>
    <x v="1"/>
    <x v="1"/>
    <x v="2"/>
    <x v="2"/>
    <s v="+20 20 54521937"/>
    <s v="Jean.Gregorio@Rare.com"/>
  </r>
  <r>
    <s v="E069"/>
    <x v="1"/>
    <s v="Abdul Kadir"/>
    <s v="Mukhtar"/>
    <s v="Usman"/>
    <x v="69"/>
    <x v="1"/>
    <d v="1983-09-03T00:00:00"/>
    <x v="20"/>
    <x v="2"/>
    <x v="0"/>
    <x v="1"/>
    <x v="1"/>
    <x v="69"/>
    <x v="54"/>
    <x v="0"/>
    <x v="4"/>
    <x v="3"/>
    <x v="0"/>
    <x v="1"/>
    <x v="0"/>
    <s v="+971 02 45578330"/>
    <s v="Abdul Kadir.Usman@Rare.com"/>
  </r>
  <r>
    <s v="E070"/>
    <x v="1"/>
    <s v="Pushparaj"/>
    <s v="Vishwanath"/>
    <s v="Shetty"/>
    <x v="70"/>
    <x v="1"/>
    <d v="1981-05-17T00:00:00"/>
    <x v="19"/>
    <x v="2"/>
    <x v="1"/>
    <x v="0"/>
    <x v="0"/>
    <x v="70"/>
    <x v="54"/>
    <x v="0"/>
    <x v="1"/>
    <x v="7"/>
    <x v="1"/>
    <x v="2"/>
    <x v="3"/>
    <s v="+971 04 63107214"/>
    <s v="Pushparaj.Shetty@Rare.com"/>
  </r>
  <r>
    <s v="E071"/>
    <x v="0"/>
    <s v="Sivakumar"/>
    <s v="N"/>
    <s v="Ravichandran"/>
    <x v="71"/>
    <x v="0"/>
    <d v="1980-04-01T00:00:00"/>
    <x v="13"/>
    <x v="1"/>
    <x v="1"/>
    <x v="0"/>
    <x v="0"/>
    <x v="71"/>
    <x v="54"/>
    <x v="0"/>
    <x v="1"/>
    <x v="4"/>
    <x v="1"/>
    <x v="2"/>
    <x v="3"/>
    <s v="+971 04 68345496"/>
    <s v="Sivakumar.Ravichandran@Rare.com"/>
  </r>
  <r>
    <s v="E072"/>
    <x v="1"/>
    <s v="Firas"/>
    <s v="Mutasim"/>
    <s v="Nasir"/>
    <x v="72"/>
    <x v="1"/>
    <d v="1981-08-19T00:00:00"/>
    <x v="18"/>
    <x v="2"/>
    <x v="0"/>
    <x v="12"/>
    <x v="0"/>
    <x v="72"/>
    <x v="54"/>
    <x v="0"/>
    <x v="1"/>
    <x v="8"/>
    <x v="1"/>
    <x v="2"/>
    <x v="12"/>
    <s v="+968  60257777"/>
    <s v="Firas.Nasir@Rare.com"/>
  </r>
  <r>
    <s v="E073"/>
    <x v="0"/>
    <s v="Adeline"/>
    <s v="Adam"/>
    <s v="Absolon  "/>
    <x v="73"/>
    <x v="0"/>
    <d v="1984-04-18T00:00:00"/>
    <x v="20"/>
    <x v="2"/>
    <x v="2"/>
    <x v="13"/>
    <x v="1"/>
    <x v="73"/>
    <x v="54"/>
    <x v="0"/>
    <x v="1"/>
    <x v="3"/>
    <x v="0"/>
    <x v="2"/>
    <x v="13"/>
    <s v="+33 1 68176570"/>
    <s v="Adeline.Absolon  @Rare.com"/>
  </r>
  <r>
    <s v="E074"/>
    <x v="1"/>
    <s v="Akram"/>
    <s v="Saleem"/>
    <s v="Tahboob"/>
    <x v="74"/>
    <x v="1"/>
    <d v="1985-07-16T00:00:00"/>
    <x v="23"/>
    <x v="2"/>
    <x v="0"/>
    <x v="1"/>
    <x v="1"/>
    <x v="74"/>
    <x v="55"/>
    <x v="0"/>
    <x v="1"/>
    <x v="8"/>
    <x v="1"/>
    <x v="1"/>
    <x v="0"/>
    <s v="+971 02 40170900"/>
    <s v="Akram.Tahboob@Rare.com"/>
  </r>
  <r>
    <s v="E075"/>
    <x v="0"/>
    <s v="Sunita"/>
    <s v="Singh"/>
    <s v="Grewal"/>
    <x v="75"/>
    <x v="0"/>
    <d v="1976-05-30T00:00:00"/>
    <x v="11"/>
    <x v="1"/>
    <x v="1"/>
    <x v="0"/>
    <x v="1"/>
    <x v="75"/>
    <x v="56"/>
    <x v="0"/>
    <x v="8"/>
    <x v="7"/>
    <x v="1"/>
    <x v="0"/>
    <x v="3"/>
    <s v="+971 04 52546324"/>
    <s v="Hari.Iyer@Rare.com"/>
  </r>
  <r>
    <s v="E076"/>
    <x v="1"/>
    <s v="Amjad"/>
    <s v="Ramzi"/>
    <s v="Reda"/>
    <x v="76"/>
    <x v="1"/>
    <d v="1986-01-23T00:00:00"/>
    <x v="21"/>
    <x v="2"/>
    <x v="0"/>
    <x v="14"/>
    <x v="1"/>
    <x v="76"/>
    <x v="57"/>
    <x v="0"/>
    <x v="6"/>
    <x v="1"/>
    <x v="1"/>
    <x v="1"/>
    <x v="0"/>
    <s v="+971 02 42974162"/>
    <s v="Amjad.Reda@Rare.com"/>
  </r>
  <r>
    <s v="E077"/>
    <x v="1"/>
    <s v="Hatim"/>
    <s v="Ridwan"/>
    <s v="Al Blooki"/>
    <x v="77"/>
    <x v="1"/>
    <d v="1971-10-15T00:00:00"/>
    <x v="7"/>
    <x v="1"/>
    <x v="0"/>
    <x v="4"/>
    <x v="0"/>
    <x v="77"/>
    <x v="58"/>
    <x v="0"/>
    <x v="6"/>
    <x v="2"/>
    <x v="1"/>
    <x v="1"/>
    <x v="0"/>
    <s v="+971 02 41767752"/>
    <s v="Hatim.Al Blooki@Rare.com"/>
  </r>
  <r>
    <s v="E078"/>
    <x v="3"/>
    <s v="Rasheed"/>
    <s v="Mohammad"/>
    <s v="Reda"/>
    <x v="78"/>
    <x v="1"/>
    <d v="1975-12-19T00:00:00"/>
    <x v="11"/>
    <x v="1"/>
    <x v="0"/>
    <x v="15"/>
    <x v="0"/>
    <x v="78"/>
    <x v="59"/>
    <x v="1"/>
    <x v="1"/>
    <x v="1"/>
    <x v="1"/>
    <x v="1"/>
    <x v="0"/>
    <s v="+971 02 72758210"/>
    <s v="Rasheed.Reda@Rare.com"/>
  </r>
  <r>
    <s v="E079"/>
    <x v="3"/>
    <s v="Khalid"/>
    <s v="Omar"/>
    <s v="Bustan"/>
    <x v="79"/>
    <x v="1"/>
    <d v="1978-11-13T00:00:00"/>
    <x v="14"/>
    <x v="1"/>
    <x v="0"/>
    <x v="15"/>
    <x v="0"/>
    <x v="79"/>
    <x v="60"/>
    <x v="0"/>
    <x v="6"/>
    <x v="2"/>
    <x v="1"/>
    <x v="1"/>
    <x v="0"/>
    <s v="+971 02 50274880"/>
    <s v="Khalid.Bustan@Rare.com"/>
  </r>
  <r>
    <s v="E080"/>
    <x v="0"/>
    <s v="Sindhu"/>
    <s v="Veluthakkal"/>
    <s v="Sugathan"/>
    <x v="80"/>
    <x v="0"/>
    <d v="1977-10-31T00:00:00"/>
    <x v="24"/>
    <x v="1"/>
    <x v="1"/>
    <x v="0"/>
    <x v="0"/>
    <x v="80"/>
    <x v="61"/>
    <x v="0"/>
    <x v="8"/>
    <x v="3"/>
    <x v="0"/>
    <x v="0"/>
    <x v="3"/>
    <s v="+971 04 45241902"/>
    <s v="Amit.Pathak@Rare.com"/>
  </r>
  <r>
    <s v="E081"/>
    <x v="1"/>
    <s v="Ivan"/>
    <s v="Maniquis"/>
    <s v="Santos"/>
    <x v="81"/>
    <x v="1"/>
    <d v="1976-10-23T00:00:00"/>
    <x v="12"/>
    <x v="1"/>
    <x v="2"/>
    <x v="3"/>
    <x v="1"/>
    <x v="81"/>
    <x v="62"/>
    <x v="0"/>
    <x v="6"/>
    <x v="2"/>
    <x v="1"/>
    <x v="1"/>
    <x v="0"/>
    <s v="+971 02 52054666"/>
    <s v="Ivan.Santos@Rare.com"/>
  </r>
  <r>
    <s v="E082"/>
    <x v="1"/>
    <s v="Mustafa"/>
    <s v="Ali"/>
    <s v="Kamal"/>
    <x v="82"/>
    <x v="1"/>
    <d v="1973-02-03T00:00:00"/>
    <x v="17"/>
    <x v="1"/>
    <x v="0"/>
    <x v="1"/>
    <x v="0"/>
    <x v="82"/>
    <x v="63"/>
    <x v="0"/>
    <x v="4"/>
    <x v="1"/>
    <x v="1"/>
    <x v="1"/>
    <x v="0"/>
    <s v="+971 02 55990721"/>
    <s v="Mustafa.Kamal@Rare.com"/>
  </r>
  <r>
    <s v="E083"/>
    <x v="1"/>
    <s v="Fahim"/>
    <s v="Rasheed"/>
    <s v="Al Ali"/>
    <x v="83"/>
    <x v="1"/>
    <d v="1976-01-14T00:00:00"/>
    <x v="11"/>
    <x v="1"/>
    <x v="0"/>
    <x v="8"/>
    <x v="0"/>
    <x v="83"/>
    <x v="64"/>
    <x v="0"/>
    <x v="1"/>
    <x v="7"/>
    <x v="1"/>
    <x v="2"/>
    <x v="2"/>
    <s v="+20 20 59698632"/>
    <s v="Fahim.Al Ali@Rare.com"/>
  </r>
  <r>
    <s v="E084"/>
    <x v="1"/>
    <s v="Amjad"/>
    <s v="Nabil"/>
    <s v="Waheed"/>
    <x v="84"/>
    <x v="1"/>
    <d v="1983-11-13T00:00:00"/>
    <x v="20"/>
    <x v="2"/>
    <x v="0"/>
    <x v="7"/>
    <x v="1"/>
    <x v="84"/>
    <x v="65"/>
    <x v="0"/>
    <x v="1"/>
    <x v="2"/>
    <x v="1"/>
    <x v="1"/>
    <x v="9"/>
    <s v="+966 1 55177750"/>
    <s v="Amjad.Waheed@Rare.com"/>
  </r>
  <r>
    <s v="E085"/>
    <x v="1"/>
    <s v="Tahir"/>
    <s v="Ghareeb"/>
    <s v="Walid"/>
    <x v="85"/>
    <x v="1"/>
    <d v="1983-09-01T00:00:00"/>
    <x v="20"/>
    <x v="2"/>
    <x v="0"/>
    <x v="7"/>
    <x v="1"/>
    <x v="85"/>
    <x v="65"/>
    <x v="0"/>
    <x v="1"/>
    <x v="8"/>
    <x v="1"/>
    <x v="1"/>
    <x v="9"/>
    <s v="+966 1 65456234"/>
    <s v="Tahir.Walid@Rare.com"/>
  </r>
  <r>
    <s v="E086"/>
    <x v="1"/>
    <s v="Esmail"/>
    <s v="Anas"/>
    <s v="Al Mansouri"/>
    <x v="86"/>
    <x v="1"/>
    <d v="1982-02-20T00:00:00"/>
    <x v="18"/>
    <x v="2"/>
    <x v="0"/>
    <x v="7"/>
    <x v="0"/>
    <x v="86"/>
    <x v="66"/>
    <x v="0"/>
    <x v="1"/>
    <x v="1"/>
    <x v="1"/>
    <x v="1"/>
    <x v="9"/>
    <s v="+966 1 63648069"/>
    <s v="Esmail.Al Mansouri@Rare.com"/>
  </r>
  <r>
    <s v="E087"/>
    <x v="1"/>
    <s v="Asim"/>
    <s v="bassam"/>
    <s v="Waleed"/>
    <x v="87"/>
    <x v="1"/>
    <d v="1981-03-09T00:00:00"/>
    <x v="19"/>
    <x v="2"/>
    <x v="0"/>
    <x v="4"/>
    <x v="1"/>
    <x v="87"/>
    <x v="67"/>
    <x v="0"/>
    <x v="1"/>
    <x v="8"/>
    <x v="1"/>
    <x v="1"/>
    <x v="0"/>
    <s v="+971 02 55190256"/>
    <s v="Asim.Waleed@Rare.com"/>
  </r>
  <r>
    <s v="E088"/>
    <x v="1"/>
    <s v="Humaid"/>
    <s v="Khaldoon"/>
    <s v="Al Shamsi"/>
    <x v="88"/>
    <x v="1"/>
    <d v="1978-10-14T00:00:00"/>
    <x v="14"/>
    <x v="1"/>
    <x v="0"/>
    <x v="15"/>
    <x v="0"/>
    <x v="88"/>
    <x v="68"/>
    <x v="0"/>
    <x v="1"/>
    <x v="8"/>
    <x v="1"/>
    <x v="1"/>
    <x v="0"/>
    <s v="+971 02 86673095"/>
    <s v="Humaid.Al Shamsi@Rare.com"/>
  </r>
  <r>
    <s v="E089"/>
    <x v="1"/>
    <s v="Hussain"/>
    <s v="Saif"/>
    <s v="Al Zaabi"/>
    <x v="89"/>
    <x v="1"/>
    <d v="1973-02-08T00:00:00"/>
    <x v="17"/>
    <x v="1"/>
    <x v="0"/>
    <x v="7"/>
    <x v="0"/>
    <x v="89"/>
    <x v="68"/>
    <x v="0"/>
    <x v="1"/>
    <x v="2"/>
    <x v="1"/>
    <x v="1"/>
    <x v="9"/>
    <s v="+966 1 65275830"/>
    <s v="Hussain.Al Zaabi@Rare.com"/>
  </r>
  <r>
    <s v="E090"/>
    <x v="1"/>
    <s v="Ibrahim"/>
    <s v="Mohammad"/>
    <s v="Khader"/>
    <x v="90"/>
    <x v="1"/>
    <d v="1979-10-06T00:00:00"/>
    <x v="13"/>
    <x v="1"/>
    <x v="0"/>
    <x v="2"/>
    <x v="0"/>
    <x v="90"/>
    <x v="68"/>
    <x v="1"/>
    <x v="1"/>
    <x v="8"/>
    <x v="1"/>
    <x v="1"/>
    <x v="0"/>
    <s v="+971 02 87870965"/>
    <s v="Ibrahim.Khader@Rare.com"/>
  </r>
  <r>
    <s v="E091"/>
    <x v="1"/>
    <s v="Adrien"/>
    <s v="Alain"/>
    <s v="Alban   "/>
    <x v="91"/>
    <x v="1"/>
    <d v="1978-01-18T00:00:00"/>
    <x v="24"/>
    <x v="1"/>
    <x v="2"/>
    <x v="13"/>
    <x v="0"/>
    <x v="91"/>
    <x v="68"/>
    <x v="0"/>
    <x v="1"/>
    <x v="8"/>
    <x v="1"/>
    <x v="2"/>
    <x v="13"/>
    <s v="+33 1 57956964"/>
    <s v="Adrien.Alban   @Rare.com"/>
  </r>
  <r>
    <s v="E092"/>
    <x v="1"/>
    <s v="Jaber"/>
    <s v="Khalifa"/>
    <s v="Hassan"/>
    <x v="92"/>
    <x v="1"/>
    <d v="1983-04-12T00:00:00"/>
    <x v="22"/>
    <x v="2"/>
    <x v="0"/>
    <x v="7"/>
    <x v="0"/>
    <x v="92"/>
    <x v="68"/>
    <x v="0"/>
    <x v="1"/>
    <x v="7"/>
    <x v="1"/>
    <x v="1"/>
    <x v="9"/>
    <s v="+966 1 80837460"/>
    <s v="Jaber.Hassan@Rare.com"/>
  </r>
  <r>
    <s v="E093"/>
    <x v="0"/>
    <s v="Suha"/>
    <s v="Kereem"/>
    <s v="Ayesh"/>
    <x v="93"/>
    <x v="0"/>
    <d v="1985-03-16T00:00:00"/>
    <x v="23"/>
    <x v="2"/>
    <x v="0"/>
    <x v="4"/>
    <x v="1"/>
    <x v="93"/>
    <x v="68"/>
    <x v="0"/>
    <x v="8"/>
    <x v="7"/>
    <x v="1"/>
    <x v="0"/>
    <x v="3"/>
    <s v="+971 04 49569960"/>
    <s v="Kamal.Ayesh@Rare.com"/>
  </r>
  <r>
    <s v="E094"/>
    <x v="1"/>
    <s v="Nino"/>
    <s v="Sison"/>
    <s v="Montalbo"/>
    <x v="94"/>
    <x v="1"/>
    <d v="1976-06-06T00:00:00"/>
    <x v="11"/>
    <x v="1"/>
    <x v="2"/>
    <x v="3"/>
    <x v="0"/>
    <x v="94"/>
    <x v="68"/>
    <x v="0"/>
    <x v="6"/>
    <x v="7"/>
    <x v="1"/>
    <x v="1"/>
    <x v="0"/>
    <s v="+971 02 55597515"/>
    <s v="Nino.Montalbo@Rare.com"/>
  </r>
  <r>
    <s v="E095"/>
    <x v="0"/>
    <s v="Indra"/>
    <s v="Rajesh"/>
    <s v="Singh"/>
    <x v="95"/>
    <x v="0"/>
    <d v="1976-05-16T00:00:00"/>
    <x v="11"/>
    <x v="1"/>
    <x v="2"/>
    <x v="0"/>
    <x v="1"/>
    <x v="95"/>
    <x v="69"/>
    <x v="0"/>
    <x v="1"/>
    <x v="4"/>
    <x v="1"/>
    <x v="2"/>
    <x v="3"/>
    <s v="+971 04 94228992"/>
    <s v="Indra.Singh@Rare.com"/>
  </r>
  <r>
    <s v="E096"/>
    <x v="1"/>
    <s v="Khalifa"/>
    <s v="Rashid"/>
    <s v="Al Qarni"/>
    <x v="96"/>
    <x v="1"/>
    <d v="1966-02-05T00:00:00"/>
    <x v="16"/>
    <x v="0"/>
    <x v="0"/>
    <x v="1"/>
    <x v="0"/>
    <x v="96"/>
    <x v="70"/>
    <x v="0"/>
    <x v="6"/>
    <x v="2"/>
    <x v="1"/>
    <x v="1"/>
    <x v="0"/>
    <s v="+971 02 49593578"/>
    <s v="Khalifa.Al Qarni@Rare.com"/>
  </r>
  <r>
    <s v="E097"/>
    <x v="1"/>
    <s v="Sabir"/>
    <s v="Bassam"/>
    <s v="Aziz"/>
    <x v="97"/>
    <x v="1"/>
    <d v="1979-08-07T00:00:00"/>
    <x v="13"/>
    <x v="1"/>
    <x v="0"/>
    <x v="4"/>
    <x v="0"/>
    <x v="97"/>
    <x v="71"/>
    <x v="0"/>
    <x v="6"/>
    <x v="7"/>
    <x v="1"/>
    <x v="2"/>
    <x v="3"/>
    <s v="+971 04 85867306"/>
    <s v="Sabir.Aziz@Rare.com"/>
  </r>
  <r>
    <s v="E098"/>
    <x v="0"/>
    <s v="Sheetal"/>
    <s v="Singh"/>
    <s v="Shetti"/>
    <x v="98"/>
    <x v="0"/>
    <d v="1976-01-06T00:00:00"/>
    <x v="11"/>
    <x v="1"/>
    <x v="2"/>
    <x v="0"/>
    <x v="1"/>
    <x v="98"/>
    <x v="72"/>
    <x v="0"/>
    <x v="1"/>
    <x v="1"/>
    <x v="1"/>
    <x v="2"/>
    <x v="3"/>
    <s v="+971 04 96229287"/>
    <s v="Sheetal.Shetti@Rare.com"/>
  </r>
  <r>
    <s v="E099"/>
    <x v="3"/>
    <s v="Amer"/>
    <s v="jihad"/>
    <s v="Tahboob"/>
    <x v="99"/>
    <x v="1"/>
    <d v="1980-01-01T00:00:00"/>
    <x v="13"/>
    <x v="1"/>
    <x v="0"/>
    <x v="16"/>
    <x v="0"/>
    <x v="99"/>
    <x v="73"/>
    <x v="0"/>
    <x v="6"/>
    <x v="1"/>
    <x v="1"/>
    <x v="2"/>
    <x v="3"/>
    <s v="+971 04 81501200"/>
    <s v="Amer.Tahboob@Rare.com"/>
  </r>
  <r>
    <s v="E100"/>
    <x v="3"/>
    <s v="Mohammad"/>
    <s v="Ali"/>
    <s v="Mustafa"/>
    <x v="100"/>
    <x v="1"/>
    <d v="1980-03-12T00:00:00"/>
    <x v="13"/>
    <x v="1"/>
    <x v="0"/>
    <x v="16"/>
    <x v="0"/>
    <x v="100"/>
    <x v="73"/>
    <x v="0"/>
    <x v="6"/>
    <x v="3"/>
    <x v="0"/>
    <x v="2"/>
    <x v="3"/>
    <s v="+971 04 60278820"/>
    <s v="Mohammad.Mustafa@Rare.com"/>
  </r>
  <r>
    <s v="E101"/>
    <x v="1"/>
    <s v="Maher"/>
    <s v="Omar"/>
    <s v="Zaahir"/>
    <x v="101"/>
    <x v="1"/>
    <d v="1983-12-24T00:00:00"/>
    <x v="20"/>
    <x v="2"/>
    <x v="0"/>
    <x v="2"/>
    <x v="1"/>
    <x v="101"/>
    <x v="74"/>
    <x v="0"/>
    <x v="1"/>
    <x v="7"/>
    <x v="1"/>
    <x v="2"/>
    <x v="2"/>
    <s v="+20 20 81587148"/>
    <s v="Maher.Zaahir@Rare.com"/>
  </r>
  <r>
    <s v="E102"/>
    <x v="1"/>
    <s v="Rangarajan"/>
    <s v="Vasudev"/>
    <s v="Balaji"/>
    <x v="102"/>
    <x v="1"/>
    <d v="1985-08-17T00:00:00"/>
    <x v="21"/>
    <x v="2"/>
    <x v="1"/>
    <x v="0"/>
    <x v="1"/>
    <x v="102"/>
    <x v="74"/>
    <x v="0"/>
    <x v="1"/>
    <x v="4"/>
    <x v="1"/>
    <x v="2"/>
    <x v="3"/>
    <s v="+971 04 67855267"/>
    <s v="Rangarajan.Balaji@Rare.com"/>
  </r>
  <r>
    <s v="E103"/>
    <x v="1"/>
    <s v="Fadi"/>
    <s v="Obada"/>
    <s v="Al Mehairbi"/>
    <x v="103"/>
    <x v="1"/>
    <d v="1981-01-09T00:00:00"/>
    <x v="19"/>
    <x v="2"/>
    <x v="0"/>
    <x v="15"/>
    <x v="0"/>
    <x v="103"/>
    <x v="75"/>
    <x v="0"/>
    <x v="6"/>
    <x v="7"/>
    <x v="1"/>
    <x v="1"/>
    <x v="0"/>
    <s v="+971 02 58302712"/>
    <s v="Fadi.Al Mehairbi@Rare.com"/>
  </r>
  <r>
    <s v="E104"/>
    <x v="1"/>
    <s v="Edison "/>
    <s v="Tan "/>
    <s v="Arceo"/>
    <x v="104"/>
    <x v="1"/>
    <d v="1977-10-20T00:00:00"/>
    <x v="24"/>
    <x v="1"/>
    <x v="2"/>
    <x v="3"/>
    <x v="0"/>
    <x v="104"/>
    <x v="76"/>
    <x v="0"/>
    <x v="6"/>
    <x v="2"/>
    <x v="1"/>
    <x v="1"/>
    <x v="0"/>
    <s v="+971 02 103688340"/>
    <s v="Edison .Arceo@Rare.com"/>
  </r>
  <r>
    <s v="E105"/>
    <x v="3"/>
    <s v="Roderick"/>
    <s v="Cruz"/>
    <s v="Zabala"/>
    <x v="105"/>
    <x v="1"/>
    <d v="1980-10-17T00:00:00"/>
    <x v="19"/>
    <x v="2"/>
    <x v="2"/>
    <x v="3"/>
    <x v="1"/>
    <x v="105"/>
    <x v="77"/>
    <x v="0"/>
    <x v="7"/>
    <x v="4"/>
    <x v="1"/>
    <x v="2"/>
    <x v="3"/>
    <s v="+971 04 77193970"/>
    <s v="Roderick.Zabala@Rare.com"/>
  </r>
  <r>
    <s v="E106"/>
    <x v="0"/>
    <s v="Chetna"/>
    <s v="Mahesh"/>
    <s v="Sharma"/>
    <x v="106"/>
    <x v="0"/>
    <d v="1977-09-24T00:00:00"/>
    <x v="24"/>
    <x v="1"/>
    <x v="1"/>
    <x v="0"/>
    <x v="1"/>
    <x v="106"/>
    <x v="78"/>
    <x v="0"/>
    <x v="6"/>
    <x v="3"/>
    <x v="0"/>
    <x v="2"/>
    <x v="3"/>
    <s v="+971 04 82574147"/>
    <s v="Chetna.Sharma@Rare.com"/>
  </r>
  <r>
    <s v="E107"/>
    <x v="3"/>
    <s v="Malek"/>
    <s v="Khalid"/>
    <s v="Rushdi"/>
    <x v="107"/>
    <x v="1"/>
    <d v="1978-08-01T00:00:00"/>
    <x v="24"/>
    <x v="1"/>
    <x v="0"/>
    <x v="15"/>
    <x v="0"/>
    <x v="107"/>
    <x v="78"/>
    <x v="0"/>
    <x v="6"/>
    <x v="2"/>
    <x v="1"/>
    <x v="1"/>
    <x v="0"/>
    <s v="+971 02 86467716"/>
    <s v="Malek.Rushdi@Rare.com"/>
  </r>
  <r>
    <s v="E108"/>
    <x v="1"/>
    <s v="Jack"/>
    <s v="George"/>
    <s v="Daniel"/>
    <x v="108"/>
    <x v="1"/>
    <d v="1972-08-09T00:00:00"/>
    <x v="17"/>
    <x v="1"/>
    <x v="2"/>
    <x v="3"/>
    <x v="0"/>
    <x v="108"/>
    <x v="79"/>
    <x v="0"/>
    <x v="6"/>
    <x v="7"/>
    <x v="1"/>
    <x v="2"/>
    <x v="3"/>
    <s v="+971 04 57946471"/>
    <s v="Jack.Daniel@Rare.com"/>
  </r>
  <r>
    <s v="E109"/>
    <x v="1"/>
    <s v="Rakesh"/>
    <s v="Kumar"/>
    <s v="Bhatiya"/>
    <x v="109"/>
    <x v="1"/>
    <d v="1979-04-20T00:00:00"/>
    <x v="14"/>
    <x v="1"/>
    <x v="2"/>
    <x v="0"/>
    <x v="1"/>
    <x v="109"/>
    <x v="80"/>
    <x v="0"/>
    <x v="6"/>
    <x v="2"/>
    <x v="1"/>
    <x v="2"/>
    <x v="3"/>
    <s v="+971 04 68663430"/>
    <s v="Rakesh.Bhatiya@Rare.com"/>
  </r>
  <r>
    <s v="E110"/>
    <x v="0"/>
    <s v="Amrita"/>
    <s v="Pal"/>
    <s v="Chopra"/>
    <x v="110"/>
    <x v="0"/>
    <d v="1976-09-29T00:00:00"/>
    <x v="12"/>
    <x v="1"/>
    <x v="2"/>
    <x v="0"/>
    <x v="2"/>
    <x v="110"/>
    <x v="81"/>
    <x v="0"/>
    <x v="6"/>
    <x v="2"/>
    <x v="1"/>
    <x v="2"/>
    <x v="3"/>
    <s v="+971 04 88807104"/>
    <s v="Amrita.Chopra@Rare.com"/>
  </r>
  <r>
    <s v="E111"/>
    <x v="1"/>
    <s v="Mamdouh"/>
    <s v="Omar"/>
    <s v="Al Azraq"/>
    <x v="111"/>
    <x v="1"/>
    <d v="1977-01-04T00:00:00"/>
    <x v="12"/>
    <x v="1"/>
    <x v="0"/>
    <x v="8"/>
    <x v="0"/>
    <x v="111"/>
    <x v="82"/>
    <x v="0"/>
    <x v="6"/>
    <x v="4"/>
    <x v="1"/>
    <x v="1"/>
    <x v="0"/>
    <s v="+971 02 83263488"/>
    <s v="Mamdouh.Al Azraq@Rare.com"/>
  </r>
  <r>
    <s v="E112"/>
    <x v="1"/>
    <s v="David"/>
    <s v="Keating"/>
    <s v="Trash"/>
    <x v="112"/>
    <x v="1"/>
    <d v="1979-10-02T00:00:00"/>
    <x v="13"/>
    <x v="1"/>
    <x v="0"/>
    <x v="3"/>
    <x v="1"/>
    <x v="112"/>
    <x v="83"/>
    <x v="0"/>
    <x v="7"/>
    <x v="4"/>
    <x v="1"/>
    <x v="1"/>
    <x v="3"/>
    <s v="+971 04 87283121"/>
    <s v="David.Trash@Rare.com"/>
  </r>
  <r>
    <s v="E113"/>
    <x v="1"/>
    <s v="Ronan"/>
    <s v="Cowell"/>
    <s v="Gaile"/>
    <x v="113"/>
    <x v="1"/>
    <d v="1976-02-13T00:00:00"/>
    <x v="11"/>
    <x v="1"/>
    <x v="2"/>
    <x v="3"/>
    <x v="0"/>
    <x v="113"/>
    <x v="84"/>
    <x v="0"/>
    <x v="6"/>
    <x v="7"/>
    <x v="1"/>
    <x v="2"/>
    <x v="3"/>
    <s v="+971 04 84836520"/>
    <s v="Ronan.Gaile@Rare.com"/>
  </r>
  <r>
    <s v="E114"/>
    <x v="1"/>
    <s v="Stephen"/>
    <s v="Gaitley"/>
    <s v="Peterson"/>
    <x v="114"/>
    <x v="1"/>
    <d v="1976-08-23T00:00:00"/>
    <x v="12"/>
    <x v="1"/>
    <x v="2"/>
    <x v="3"/>
    <x v="1"/>
    <x v="114"/>
    <x v="84"/>
    <x v="0"/>
    <x v="6"/>
    <x v="2"/>
    <x v="1"/>
    <x v="2"/>
    <x v="3"/>
    <s v="+971 04 95561665"/>
    <s v="Stephen.Peterson@Rare.com"/>
  </r>
  <r>
    <s v="E115"/>
    <x v="1"/>
    <s v="Fernando"/>
    <s v="Mendoza"/>
    <s v="Segundo"/>
    <x v="115"/>
    <x v="1"/>
    <d v="1976-09-01T00:00:00"/>
    <x v="7"/>
    <x v="1"/>
    <x v="0"/>
    <x v="3"/>
    <x v="0"/>
    <x v="115"/>
    <x v="85"/>
    <x v="0"/>
    <x v="7"/>
    <x v="4"/>
    <x v="1"/>
    <x v="1"/>
    <x v="3"/>
    <s v="+971 04 109097536"/>
    <s v="Fernando.Segundo@Rare.com"/>
  </r>
  <r>
    <s v="E116"/>
    <x v="1"/>
    <s v="Sunil"/>
    <s v="Balasaheb"/>
    <s v="Tauro"/>
    <x v="116"/>
    <x v="1"/>
    <d v="1985-01-13T00:00:00"/>
    <x v="23"/>
    <x v="2"/>
    <x v="1"/>
    <x v="0"/>
    <x v="1"/>
    <x v="116"/>
    <x v="86"/>
    <x v="0"/>
    <x v="6"/>
    <x v="2"/>
    <x v="1"/>
    <x v="2"/>
    <x v="3"/>
    <s v="+971 04 90470484"/>
    <s v="Sunil.Tauro@Rare.com"/>
  </r>
  <r>
    <s v="E117"/>
    <x v="1"/>
    <s v="Jay"/>
    <s v="Salvador"/>
    <s v="Magboo"/>
    <x v="117"/>
    <x v="1"/>
    <d v="1985-08-21T00:00:00"/>
    <x v="21"/>
    <x v="2"/>
    <x v="2"/>
    <x v="3"/>
    <x v="1"/>
    <x v="117"/>
    <x v="86"/>
    <x v="0"/>
    <x v="6"/>
    <x v="4"/>
    <x v="1"/>
    <x v="1"/>
    <x v="0"/>
    <s v="+971 02 96647782"/>
    <s v="Jay.Magboo@Rare.com"/>
  </r>
  <r>
    <s v="E118"/>
    <x v="1"/>
    <s v="Julius"/>
    <s v="Ancaja"/>
    <s v="Reyes"/>
    <x v="118"/>
    <x v="1"/>
    <d v="1984-01-01T00:00:00"/>
    <x v="20"/>
    <x v="2"/>
    <x v="2"/>
    <x v="3"/>
    <x v="1"/>
    <x v="118"/>
    <x v="86"/>
    <x v="0"/>
    <x v="6"/>
    <x v="2"/>
    <x v="1"/>
    <x v="1"/>
    <x v="0"/>
    <s v="+971 02 108074253"/>
    <s v="Julius.Reyes@Rare.com"/>
  </r>
  <r>
    <s v="E119"/>
    <x v="1"/>
    <s v="Ramesh"/>
    <s v="Vishnu"/>
    <s v="Menon"/>
    <x v="119"/>
    <x v="1"/>
    <d v="1985-04-05T00:00:00"/>
    <x v="23"/>
    <x v="2"/>
    <x v="1"/>
    <x v="0"/>
    <x v="0"/>
    <x v="119"/>
    <x v="86"/>
    <x v="0"/>
    <x v="6"/>
    <x v="2"/>
    <x v="1"/>
    <x v="2"/>
    <x v="3"/>
    <s v="+971 04 67331160"/>
    <s v="Ramesh.Menon@Rare.com"/>
  </r>
  <r>
    <s v="E120"/>
    <x v="1"/>
    <s v="Pradeep"/>
    <s v="Singh"/>
    <s v="Katoch"/>
    <x v="120"/>
    <x v="1"/>
    <d v="1977-11-19T00:00:00"/>
    <x v="24"/>
    <x v="1"/>
    <x v="1"/>
    <x v="0"/>
    <x v="0"/>
    <x v="120"/>
    <x v="87"/>
    <x v="0"/>
    <x v="6"/>
    <x v="4"/>
    <x v="1"/>
    <x v="2"/>
    <x v="3"/>
    <s v="+971 04 85121806"/>
    <s v="Pradeep.Katoch@Rare.com"/>
  </r>
  <r>
    <s v="E121"/>
    <x v="1"/>
    <s v="Ata ullah"/>
    <s v="dawood"/>
    <s v="Majid"/>
    <x v="121"/>
    <x v="1"/>
    <d v="1985-02-02T00:00:00"/>
    <x v="23"/>
    <x v="2"/>
    <x v="0"/>
    <x v="4"/>
    <x v="1"/>
    <x v="121"/>
    <x v="88"/>
    <x v="0"/>
    <x v="7"/>
    <x v="4"/>
    <x v="1"/>
    <x v="1"/>
    <x v="0"/>
    <s v="+971 02 121828956"/>
    <s v="Ata ullah.Majid@Rare.com"/>
  </r>
  <r>
    <s v="E122"/>
    <x v="3"/>
    <s v="yasser"/>
    <s v="Ali"/>
    <s v="Kamel"/>
    <x v="122"/>
    <x v="1"/>
    <d v="1983-01-28T00:00:00"/>
    <x v="22"/>
    <x v="2"/>
    <x v="0"/>
    <x v="9"/>
    <x v="0"/>
    <x v="122"/>
    <x v="89"/>
    <x v="0"/>
    <x v="6"/>
    <x v="4"/>
    <x v="1"/>
    <x v="1"/>
    <x v="0"/>
    <s v="+971 02 75307734"/>
    <s v="yasser.Kamel@Rare.com"/>
  </r>
  <r>
    <s v="E123"/>
    <x v="0"/>
    <s v="Shazia"/>
    <s v="Hussain"/>
    <s v="Khan"/>
    <x v="123"/>
    <x v="0"/>
    <d v="1976-09-11T00:00:00"/>
    <x v="12"/>
    <x v="1"/>
    <x v="0"/>
    <x v="0"/>
    <x v="1"/>
    <x v="123"/>
    <x v="90"/>
    <x v="0"/>
    <x v="6"/>
    <x v="2"/>
    <x v="1"/>
    <x v="2"/>
    <x v="3"/>
    <s v="+971 04 112716248"/>
    <s v="Aruna.Kondur@Rare.com"/>
  </r>
  <r>
    <s v="E124"/>
    <x v="1"/>
    <s v="Walid"/>
    <s v="waleed"/>
    <s v="Ali"/>
    <x v="124"/>
    <x v="1"/>
    <d v="1985-06-17T00:00:00"/>
    <x v="23"/>
    <x v="2"/>
    <x v="0"/>
    <x v="2"/>
    <x v="1"/>
    <x v="124"/>
    <x v="90"/>
    <x v="0"/>
    <x v="6"/>
    <x v="2"/>
    <x v="1"/>
    <x v="2"/>
    <x v="3"/>
    <s v="+971 04 63634500"/>
    <s v="Walid.Ali@Rare.com"/>
  </r>
  <r>
    <s v="E125"/>
    <x v="1"/>
    <s v="hosni"/>
    <s v="Sad"/>
    <s v="Shaheen"/>
    <x v="125"/>
    <x v="1"/>
    <d v="1976-08-12T00:00:00"/>
    <x v="12"/>
    <x v="1"/>
    <x v="0"/>
    <x v="15"/>
    <x v="0"/>
    <x v="125"/>
    <x v="91"/>
    <x v="0"/>
    <x v="7"/>
    <x v="4"/>
    <x v="1"/>
    <x v="1"/>
    <x v="0"/>
    <s v="+971 02 93997764"/>
    <s v="hosni.Shaheen@Rare.com"/>
  </r>
  <r>
    <s v="E126"/>
    <x v="1"/>
    <s v="Ayman"/>
    <s v="Rami"/>
    <s v="Mohammad"/>
    <x v="126"/>
    <x v="1"/>
    <d v="1982-08-19T00:00:00"/>
    <x v="22"/>
    <x v="2"/>
    <x v="0"/>
    <x v="2"/>
    <x v="1"/>
    <x v="126"/>
    <x v="92"/>
    <x v="0"/>
    <x v="6"/>
    <x v="2"/>
    <x v="1"/>
    <x v="2"/>
    <x v="3"/>
    <s v="+971 04 73975468"/>
    <s v="Ayman.Mohammad@Rare.com"/>
  </r>
  <r>
    <s v="E127"/>
    <x v="1"/>
    <s v="Mosa"/>
    <s v="waleed"/>
    <s v="Salim"/>
    <x v="127"/>
    <x v="1"/>
    <d v="1985-04-06T00:00:00"/>
    <x v="23"/>
    <x v="2"/>
    <x v="0"/>
    <x v="15"/>
    <x v="0"/>
    <x v="127"/>
    <x v="92"/>
    <x v="0"/>
    <x v="6"/>
    <x v="2"/>
    <x v="1"/>
    <x v="1"/>
    <x v="0"/>
    <s v="+971 02 122961280"/>
    <s v="Mosa.Salim@Rare.com"/>
  </r>
  <r>
    <s v="E128"/>
    <x v="1"/>
    <s v="Salim"/>
    <s v="Mohammad"/>
    <s v="Al Shamsi"/>
    <x v="128"/>
    <x v="1"/>
    <d v="1980-09-24T00:00:00"/>
    <x v="19"/>
    <x v="2"/>
    <x v="0"/>
    <x v="15"/>
    <x v="0"/>
    <x v="128"/>
    <x v="93"/>
    <x v="0"/>
    <x v="7"/>
    <x v="4"/>
    <x v="1"/>
    <x v="1"/>
    <x v="0"/>
    <s v="+971 02 91307232"/>
    <s v="Salim.Al Shamsi@Rare.com"/>
  </r>
  <r>
    <s v="E129"/>
    <x v="1"/>
    <s v="Fakhri"/>
    <s v="Rauf"/>
    <s v="Mohammad"/>
    <x v="129"/>
    <x v="1"/>
    <d v="1952-04-06T00:00:00"/>
    <x v="25"/>
    <x v="0"/>
    <x v="0"/>
    <x v="2"/>
    <x v="0"/>
    <x v="129"/>
    <x v="94"/>
    <x v="0"/>
    <x v="6"/>
    <x v="4"/>
    <x v="1"/>
    <x v="2"/>
    <x v="3"/>
    <s v="+971 04 100339980"/>
    <s v="Fakhri.Mohammad@Rare.com"/>
  </r>
  <r>
    <s v="E130"/>
    <x v="1"/>
    <s v="Rami"/>
    <s v="Habib"/>
    <s v="Al Huda"/>
    <x v="130"/>
    <x v="1"/>
    <d v="1959-06-07T00:00:00"/>
    <x v="26"/>
    <x v="0"/>
    <x v="2"/>
    <x v="2"/>
    <x v="0"/>
    <x v="130"/>
    <x v="94"/>
    <x v="0"/>
    <x v="6"/>
    <x v="2"/>
    <x v="1"/>
    <x v="2"/>
    <x v="3"/>
    <s v="+971 04 101910009"/>
    <s v="Rami.Al Huda@Rare.com"/>
  </r>
  <r>
    <s v="E131"/>
    <x v="1"/>
    <s v="Raid"/>
    <s v="Mohammad"/>
    <s v="Mustafa"/>
    <x v="131"/>
    <x v="1"/>
    <d v="1978-05-18T00:00:00"/>
    <x v="24"/>
    <x v="1"/>
    <x v="0"/>
    <x v="14"/>
    <x v="0"/>
    <x v="131"/>
    <x v="95"/>
    <x v="0"/>
    <x v="6"/>
    <x v="4"/>
    <x v="1"/>
    <x v="1"/>
    <x v="0"/>
    <s v="+971 02 118929360"/>
    <s v="Raid.Mustafa@Rare.com"/>
  </r>
  <r>
    <s v="E132"/>
    <x v="1"/>
    <s v="Raid"/>
    <s v="Hamad"/>
    <s v="Zaabi"/>
    <x v="132"/>
    <x v="1"/>
    <d v="1979-08-27T00:00:00"/>
    <x v="13"/>
    <x v="1"/>
    <x v="0"/>
    <x v="2"/>
    <x v="0"/>
    <x v="132"/>
    <x v="96"/>
    <x v="0"/>
    <x v="6"/>
    <x v="2"/>
    <x v="1"/>
    <x v="2"/>
    <x v="3"/>
    <s v="+971 04 129888864"/>
    <s v="Raid.Zaabi@Rare.com"/>
  </r>
  <r>
    <s v="E133"/>
    <x v="0"/>
    <s v="Tahani"/>
    <s v="Yousef"/>
    <s v="Al Zaraq"/>
    <x v="133"/>
    <x v="0"/>
    <d v="1984-04-04T00:00:00"/>
    <x v="20"/>
    <x v="2"/>
    <x v="0"/>
    <x v="17"/>
    <x v="0"/>
    <x v="133"/>
    <x v="97"/>
    <x v="0"/>
    <x v="5"/>
    <x v="3"/>
    <x v="0"/>
    <x v="0"/>
    <x v="3"/>
    <s v="+971 04 72586192"/>
    <s v="Tahani.Al Zaraq@Rare.com"/>
  </r>
  <r>
    <s v="E134"/>
    <x v="1"/>
    <s v="Ali"/>
    <s v="rami"/>
    <s v="Jabir"/>
    <x v="134"/>
    <x v="1"/>
    <d v="1985-03-26T00:00:00"/>
    <x v="23"/>
    <x v="2"/>
    <x v="0"/>
    <x v="15"/>
    <x v="0"/>
    <x v="134"/>
    <x v="97"/>
    <x v="0"/>
    <x v="6"/>
    <x v="4"/>
    <x v="1"/>
    <x v="2"/>
    <x v="3"/>
    <s v="+971 04 113134590"/>
    <s v="Ali.Jabir@Rare.com"/>
  </r>
  <r>
    <s v="E135"/>
    <x v="1"/>
    <s v="Haydar"/>
    <s v="Riad"/>
    <s v="Al Qubaisi"/>
    <x v="135"/>
    <x v="1"/>
    <d v="1973-11-18T00:00:00"/>
    <x v="9"/>
    <x v="1"/>
    <x v="0"/>
    <x v="4"/>
    <x v="0"/>
    <x v="135"/>
    <x v="97"/>
    <x v="0"/>
    <x v="6"/>
    <x v="2"/>
    <x v="1"/>
    <x v="2"/>
    <x v="3"/>
    <s v="+971 04 75020728"/>
    <s v="Haydar.Al Qubaisi@Rare.com"/>
  </r>
  <r>
    <s v="E136"/>
    <x v="1"/>
    <s v="Omran"/>
    <s v="Salah"/>
    <s v="Mohammad"/>
    <x v="136"/>
    <x v="1"/>
    <d v="1978-07-23T00:00:00"/>
    <x v="24"/>
    <x v="1"/>
    <x v="0"/>
    <x v="15"/>
    <x v="1"/>
    <x v="136"/>
    <x v="98"/>
    <x v="0"/>
    <x v="6"/>
    <x v="2"/>
    <x v="1"/>
    <x v="1"/>
    <x v="0"/>
    <s v="+971 02 135836459"/>
    <s v="Omran.Mohammad@Rare.com"/>
  </r>
  <r>
    <s v="E137"/>
    <x v="1"/>
    <s v="Shaheen"/>
    <s v="sameer"/>
    <s v="Saleem"/>
    <x v="137"/>
    <x v="1"/>
    <d v="1972-07-17T00:00:00"/>
    <x v="7"/>
    <x v="1"/>
    <x v="0"/>
    <x v="2"/>
    <x v="0"/>
    <x v="137"/>
    <x v="99"/>
    <x v="0"/>
    <x v="6"/>
    <x v="2"/>
    <x v="1"/>
    <x v="2"/>
    <x v="3"/>
    <s v="+971 04 137313450"/>
    <s v="Shaheen.Saleem@Rare.com"/>
  </r>
  <r>
    <s v="E138"/>
    <x v="1"/>
    <s v="Gorge"/>
    <s v="firas"/>
    <s v="Essa"/>
    <x v="138"/>
    <x v="1"/>
    <d v="1983-09-21T00:00:00"/>
    <x v="20"/>
    <x v="2"/>
    <x v="2"/>
    <x v="2"/>
    <x v="1"/>
    <x v="138"/>
    <x v="100"/>
    <x v="0"/>
    <x v="6"/>
    <x v="4"/>
    <x v="1"/>
    <x v="2"/>
    <x v="3"/>
    <s v="+971 04 102479835"/>
    <s v="Gorge.Essa@Rare.com"/>
  </r>
  <r>
    <s v="E139"/>
    <x v="1"/>
    <s v="Loyai"/>
    <s v="samer"/>
    <s v="Ibrahim"/>
    <x v="139"/>
    <x v="1"/>
    <d v="1986-03-03T00:00:00"/>
    <x v="21"/>
    <x v="2"/>
    <x v="0"/>
    <x v="2"/>
    <x v="1"/>
    <x v="139"/>
    <x v="100"/>
    <x v="0"/>
    <x v="6"/>
    <x v="2"/>
    <x v="1"/>
    <x v="2"/>
    <x v="3"/>
    <s v="+971 04 100751000"/>
    <s v="Loyai.Ibrahim@Rare.com"/>
  </r>
  <r>
    <s v="E140"/>
    <x v="1"/>
    <s v="Saeed"/>
    <s v="Haitham"/>
    <s v="Abdullah"/>
    <x v="140"/>
    <x v="1"/>
    <d v="1983-11-18T00:00:00"/>
    <x v="20"/>
    <x v="2"/>
    <x v="0"/>
    <x v="2"/>
    <x v="1"/>
    <x v="140"/>
    <x v="100"/>
    <x v="0"/>
    <x v="6"/>
    <x v="2"/>
    <x v="1"/>
    <x v="2"/>
    <x v="3"/>
    <s v="+971 04 90049368"/>
    <s v="Saeed.Abdullah@Rare.com"/>
  </r>
  <r>
    <s v="E141"/>
    <x v="1"/>
    <s v="Abdul Aziz"/>
    <s v="Rajab"/>
    <s v="Qasim"/>
    <x v="141"/>
    <x v="1"/>
    <d v="1985-10-03T00:00:00"/>
    <x v="21"/>
    <x v="2"/>
    <x v="0"/>
    <x v="2"/>
    <x v="1"/>
    <x v="141"/>
    <x v="101"/>
    <x v="0"/>
    <x v="6"/>
    <x v="4"/>
    <x v="1"/>
    <x v="2"/>
    <x v="3"/>
    <s v="+971 04 82728348"/>
    <s v="Abdul Aziz.Qasim@Rare.com"/>
  </r>
  <r>
    <s v="E142"/>
    <x v="0"/>
    <s v="Najma"/>
    <s v="Shah"/>
    <s v="Heptullah"/>
    <x v="142"/>
    <x v="0"/>
    <d v="1984-07-14T00:00:00"/>
    <x v="20"/>
    <x v="2"/>
    <x v="0"/>
    <x v="0"/>
    <x v="1"/>
    <x v="142"/>
    <x v="101"/>
    <x v="0"/>
    <x v="5"/>
    <x v="4"/>
    <x v="1"/>
    <x v="0"/>
    <x v="3"/>
    <s v="+971 04 133628352"/>
    <s v="Mohan.Ray@Rare.com"/>
  </r>
  <r>
    <s v="E143"/>
    <x v="1"/>
    <s v="Robert"/>
    <s v="Aguinaldo"/>
    <s v="Aquino"/>
    <x v="143"/>
    <x v="1"/>
    <d v="1985-06-06T00:00:00"/>
    <x v="23"/>
    <x v="2"/>
    <x v="2"/>
    <x v="3"/>
    <x v="1"/>
    <x v="143"/>
    <x v="101"/>
    <x v="0"/>
    <x v="6"/>
    <x v="4"/>
    <x v="1"/>
    <x v="1"/>
    <x v="0"/>
    <s v="+971 02 88922016"/>
    <s v="Robert.Aquino@Rare.com"/>
  </r>
  <r>
    <s v="E144"/>
    <x v="1"/>
    <s v="Ali"/>
    <s v="Mohammad"/>
    <s v="Al Shamsi"/>
    <x v="144"/>
    <x v="1"/>
    <d v="1980-12-06T00:00:00"/>
    <x v="19"/>
    <x v="2"/>
    <x v="0"/>
    <x v="2"/>
    <x v="1"/>
    <x v="144"/>
    <x v="102"/>
    <x v="0"/>
    <x v="6"/>
    <x v="2"/>
    <x v="1"/>
    <x v="2"/>
    <x v="3"/>
    <s v="+971 04 93593730"/>
    <s v="Ali.Al Shamsi@Rare.com"/>
  </r>
  <r>
    <s v="E145"/>
    <x v="1"/>
    <s v="hossam"/>
    <s v="Ali"/>
    <s v="Saeed"/>
    <x v="145"/>
    <x v="1"/>
    <d v="1986-06-27T00:00:00"/>
    <x v="21"/>
    <x v="2"/>
    <x v="0"/>
    <x v="15"/>
    <x v="1"/>
    <x v="145"/>
    <x v="102"/>
    <x v="0"/>
    <x v="6"/>
    <x v="2"/>
    <x v="1"/>
    <x v="1"/>
    <x v="0"/>
    <s v="+971 02 83646028"/>
    <s v="hossam.Saeed@Rare.com"/>
  </r>
  <r>
    <s v="E146"/>
    <x v="1"/>
    <s v="Mansour"/>
    <s v="Yahya"/>
    <s v="Saad"/>
    <x v="146"/>
    <x v="1"/>
    <d v="1987-08-16T00:00:00"/>
    <x v="27"/>
    <x v="2"/>
    <x v="0"/>
    <x v="2"/>
    <x v="1"/>
    <x v="146"/>
    <x v="102"/>
    <x v="0"/>
    <x v="6"/>
    <x v="2"/>
    <x v="1"/>
    <x v="2"/>
    <x v="3"/>
    <s v="+971 04 103647348"/>
    <s v="Mansour.Saad@Rare.com"/>
  </r>
  <r>
    <s v="E147"/>
    <x v="3"/>
    <s v="Ahmed"/>
    <s v="Mohammad"/>
    <s v="Khader"/>
    <x v="147"/>
    <x v="1"/>
    <d v="1964-03-09T00:00:00"/>
    <x v="2"/>
    <x v="0"/>
    <x v="0"/>
    <x v="14"/>
    <x v="0"/>
    <x v="147"/>
    <x v="103"/>
    <x v="0"/>
    <x v="6"/>
    <x v="2"/>
    <x v="1"/>
    <x v="2"/>
    <x v="3"/>
    <s v="+971 04 74403152"/>
    <s v="Ahmed.Khader@Rare.com"/>
  </r>
  <r>
    <s v="E145"/>
    <x v="1"/>
    <s v="hossam"/>
    <s v="Ali"/>
    <s v="Saeed"/>
    <x v="145"/>
    <x v="1"/>
    <d v="1986-06-27T00:00:00"/>
    <x v="21"/>
    <x v="2"/>
    <x v="0"/>
    <x v="15"/>
    <x v="1"/>
    <x v="145"/>
    <x v="102"/>
    <x v="0"/>
    <x v="6"/>
    <x v="2"/>
    <x v="1"/>
    <x v="1"/>
    <x v="0"/>
    <s v="+971 02 83646028"/>
    <s v="hossam.Saeed@Rare.com"/>
  </r>
  <r>
    <s v="E146"/>
    <x v="1"/>
    <s v="Mansour"/>
    <s v="Yahya"/>
    <s v="Saad"/>
    <x v="146"/>
    <x v="1"/>
    <d v="1987-08-16T00:00:00"/>
    <x v="27"/>
    <x v="2"/>
    <x v="0"/>
    <x v="2"/>
    <x v="1"/>
    <x v="146"/>
    <x v="102"/>
    <x v="0"/>
    <x v="6"/>
    <x v="2"/>
    <x v="1"/>
    <x v="2"/>
    <x v="3"/>
    <s v="+971 04 103647348"/>
    <s v="Mansour.Saad@Rare.com"/>
  </r>
  <r>
    <s v="E147"/>
    <x v="3"/>
    <s v="Ahmed"/>
    <s v="Mohammad"/>
    <s v="Khader"/>
    <x v="147"/>
    <x v="1"/>
    <d v="1964-03-09T00:00:00"/>
    <x v="2"/>
    <x v="0"/>
    <x v="0"/>
    <x v="14"/>
    <x v="0"/>
    <x v="147"/>
    <x v="103"/>
    <x v="0"/>
    <x v="6"/>
    <x v="2"/>
    <x v="1"/>
    <x v="2"/>
    <x v="3"/>
    <s v="+971 04 74403152"/>
    <s v="Ahmed.Khader@Rare.co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2CD99E-43CE-43E1-BA50-B7E6FACF6A1F}"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AA3:AB7"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items count="10">
        <item x="2"/>
        <item x="4"/>
        <item x="5"/>
        <item x="3"/>
        <item x="7"/>
        <item x="0"/>
        <item x="8"/>
        <item x="6"/>
        <item x="1"/>
        <item t="default"/>
      </items>
    </pivotField>
    <pivotField compact="0" outline="0" showAll="0"/>
    <pivotField dataField="1" compact="0" outline="0" showAll="0">
      <items count="3">
        <item x="0"/>
        <item x="1"/>
        <item t="default"/>
      </items>
    </pivotField>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axis="axisRow"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24"/>
  </rowFields>
  <rowItems count="4">
    <i>
      <x v="1"/>
    </i>
    <i>
      <x v="2"/>
    </i>
    <i>
      <x v="3"/>
    </i>
    <i>
      <x v="4"/>
    </i>
  </rowItems>
  <colItems count="1">
    <i/>
  </colItems>
  <dataFields count="1">
    <dataField name="Count of Job Level" fld="18"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0F9668-C533-44D4-8CDC-6BBD3E63BCEE}"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X3:Y5"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items count="10">
        <item x="2"/>
        <item x="4"/>
        <item x="5"/>
        <item x="3"/>
        <item x="7"/>
        <item x="0"/>
        <item x="8"/>
        <item x="6"/>
        <item x="1"/>
        <item t="default"/>
      </items>
    </pivotField>
    <pivotField compact="0" outline="0" showAll="0"/>
    <pivotField axis="axisRow" dataField="1" compact="0" outline="0" showAll="0">
      <items count="3">
        <item x="0"/>
        <item x="1"/>
        <item t="default"/>
      </items>
    </pivotField>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8"/>
  </rowFields>
  <rowItems count="2">
    <i>
      <x/>
    </i>
    <i>
      <x v="1"/>
    </i>
  </rowItems>
  <colItems count="1">
    <i/>
  </colItems>
  <dataFields count="1">
    <dataField name="Count of Job Level"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503052-2DA7-483F-B132-EF086C657252}"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AH3:AJ6" firstHeaderRow="0"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items count="4">
        <item x="2"/>
        <item x="1"/>
        <item x="0"/>
        <item t="default"/>
      </items>
    </pivotField>
    <pivotField axis="axisRow" dataField="1" compact="0" outline="0" showAll="0">
      <items count="4">
        <item x="2"/>
        <item x="1"/>
        <item x="0"/>
        <item t="default"/>
      </items>
    </pivotField>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items count="10">
        <item x="2"/>
        <item x="4"/>
        <item x="5"/>
        <item x="3"/>
        <item x="7"/>
        <item x="0"/>
        <item x="8"/>
        <item x="6"/>
        <item x="1"/>
        <item t="default"/>
      </items>
    </pivotField>
    <pivotField compact="0" outline="0" showAll="0"/>
    <pivotField dataField="1" compact="0" outline="0" showAll="0">
      <items count="3">
        <item x="0"/>
        <item x="1"/>
        <item t="default"/>
      </items>
    </pivotField>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0"/>
  </rowFields>
  <rowItems count="3">
    <i>
      <x/>
    </i>
    <i>
      <x v="1"/>
    </i>
    <i>
      <x v="2"/>
    </i>
  </rowItems>
  <colFields count="1">
    <field x="-2"/>
  </colFields>
  <colItems count="2">
    <i>
      <x/>
    </i>
    <i i="1">
      <x v="1"/>
    </i>
  </colItems>
  <dataFields count="2">
    <dataField name=" Job Level" fld="18" subtotal="count" baseField="0" baseItem="0"/>
    <dataField name=" Religous Faith" fld="10" subtotal="count" showDataAs="percentOfCol" baseField="0" baseItem="0" numFmtId="164"/>
  </dataFields>
  <formats count="1">
    <format dxfId="0">
      <pivotArea outline="0" fieldPosition="0">
        <references count="1">
          <reference field="4294967294" count="1" selected="0">
            <x v="1"/>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580A9E-E7F6-4D5E-8C48-58E6D2A261F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3:E74" firstHeaderRow="1" firstDataRow="1" firstDataCol="1"/>
  <pivotFields count="26">
    <pivotField dataField="1" showAll="0"/>
    <pivotField showAll="0"/>
    <pivotField showAll="0"/>
    <pivotField showAll="0"/>
    <pivotField showAll="0"/>
    <pivotField showAll="0"/>
    <pivotField showAll="0"/>
    <pivotField numFmtId="14" showAll="0"/>
    <pivotField showAll="0"/>
    <pivotField showAll="0"/>
    <pivotField showAll="0"/>
    <pivotField showAll="0">
      <items count="19">
        <item x="11"/>
        <item x="2"/>
        <item x="13"/>
        <item x="0"/>
        <item x="4"/>
        <item x="10"/>
        <item x="8"/>
        <item x="14"/>
        <item x="5"/>
        <item x="12"/>
        <item x="1"/>
        <item x="3"/>
        <item x="7"/>
        <item x="9"/>
        <item x="15"/>
        <item x="17"/>
        <item x="6"/>
        <item x="16"/>
        <item t="default"/>
      </items>
    </pivotField>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15">
        <item x="0"/>
        <item x="7"/>
        <item x="1"/>
        <item x="2"/>
        <item x="3"/>
        <item x="11"/>
        <item x="6"/>
        <item x="4"/>
        <item x="5"/>
        <item x="8"/>
        <item x="10"/>
        <item x="12"/>
        <item x="13"/>
        <item x="9"/>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4"/>
  </rowFields>
  <rowItems count="71">
    <i>
      <x v="1"/>
    </i>
    <i>
      <x v="11"/>
    </i>
    <i>
      <x v="13"/>
    </i>
    <i>
      <x v="19"/>
    </i>
    <i>
      <x v="20"/>
    </i>
    <i>
      <x v="21"/>
    </i>
    <i>
      <x v="23"/>
    </i>
    <i>
      <x v="30"/>
    </i>
    <i>
      <x v="32"/>
    </i>
    <i>
      <x v="37"/>
    </i>
    <i>
      <x v="41"/>
    </i>
    <i>
      <x v="46"/>
    </i>
    <i>
      <x v="53"/>
    </i>
    <i>
      <x v="61"/>
    </i>
    <i>
      <x v="68"/>
    </i>
    <i>
      <x v="71"/>
    </i>
    <i>
      <x v="73"/>
    </i>
    <i>
      <x v="84"/>
    </i>
    <i>
      <x v="92"/>
    </i>
    <i>
      <x v="94"/>
    </i>
    <i>
      <x v="96"/>
    </i>
    <i>
      <x v="97"/>
    </i>
    <i>
      <x v="106"/>
    </i>
    <i>
      <x v="117"/>
    </i>
    <i>
      <x v="122"/>
    </i>
    <i>
      <x v="141"/>
    </i>
    <i>
      <x v="142"/>
    </i>
    <i>
      <x v="152"/>
    </i>
    <i>
      <x v="153"/>
    </i>
    <i>
      <x v="155"/>
    </i>
    <i>
      <x v="169"/>
    </i>
    <i>
      <x v="170"/>
    </i>
    <i>
      <x v="174"/>
    </i>
    <i>
      <x v="183"/>
    </i>
    <i>
      <x v="185"/>
    </i>
    <i>
      <x v="186"/>
    </i>
    <i>
      <x v="190"/>
    </i>
    <i>
      <x v="197"/>
    </i>
    <i>
      <x v="208"/>
    </i>
    <i>
      <x v="214"/>
    </i>
    <i>
      <x v="217"/>
    </i>
    <i>
      <x v="228"/>
    </i>
    <i>
      <x v="235"/>
    </i>
    <i>
      <x v="237"/>
    </i>
    <i>
      <x v="240"/>
    </i>
    <i>
      <x v="245"/>
    </i>
    <i>
      <x v="248"/>
    </i>
    <i>
      <x v="251"/>
    </i>
    <i>
      <x v="252"/>
    </i>
    <i>
      <x v="254"/>
    </i>
    <i>
      <x v="255"/>
    </i>
    <i>
      <x v="275"/>
    </i>
    <i>
      <x v="279"/>
    </i>
    <i>
      <x v="284"/>
    </i>
    <i>
      <x v="289"/>
    </i>
    <i>
      <x v="306"/>
    </i>
    <i>
      <x v="309"/>
    </i>
    <i>
      <x v="313"/>
    </i>
    <i>
      <x v="314"/>
    </i>
    <i>
      <x v="318"/>
    </i>
    <i>
      <x v="320"/>
    </i>
    <i>
      <x v="322"/>
    </i>
    <i>
      <x v="326"/>
    </i>
    <i>
      <x v="327"/>
    </i>
    <i>
      <x v="335"/>
    </i>
    <i>
      <x v="336"/>
    </i>
    <i>
      <x v="340"/>
    </i>
    <i>
      <x v="345"/>
    </i>
    <i>
      <x v="348"/>
    </i>
    <i>
      <x v="356"/>
    </i>
    <i t="grand">
      <x/>
    </i>
  </rowItems>
  <colItems count="1">
    <i/>
  </colItems>
  <dataFields count="1">
    <dataField name="Count of Emp_ID"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92B6B2-65E2-4573-BD84-D2987F604255}"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4">
  <location ref="AO3:AP6"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items count="4">
        <item x="2"/>
        <item x="1"/>
        <item x="0"/>
        <item t="default"/>
      </items>
    </pivotField>
    <pivotField compact="0" outline="0" showAll="0">
      <items count="4">
        <item x="2"/>
        <item x="1"/>
        <item x="0"/>
        <item t="default"/>
      </items>
    </pivotField>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items count="10">
        <item x="2"/>
        <item x="4"/>
        <item x="5"/>
        <item x="3"/>
        <item x="7"/>
        <item x="0"/>
        <item x="8"/>
        <item x="6"/>
        <item x="1"/>
        <item t="default"/>
      </items>
    </pivotField>
    <pivotField compact="0" outline="0" showAll="0" sortType="descending">
      <items count="10">
        <item x="5"/>
        <item x="8"/>
        <item x="3"/>
        <item x="4"/>
        <item x="0"/>
        <item x="1"/>
        <item x="6"/>
        <item x="7"/>
        <item x="2"/>
        <item t="default"/>
      </items>
      <autoSortScope>
        <pivotArea dataOnly="0" outline="0" fieldPosition="0">
          <references count="1">
            <reference field="4294967294" count="1" selected="0">
              <x v="0"/>
            </reference>
          </references>
        </pivotArea>
      </autoSortScope>
    </pivotField>
    <pivotField dataField="1" compact="0" outline="0" showAll="0">
      <items count="3">
        <item x="0"/>
        <item x="1"/>
        <item t="default"/>
      </items>
    </pivotField>
    <pivotField axis="axisRow" compact="0" outline="0" showAll="0">
      <items count="4">
        <item x="1"/>
        <item x="2"/>
        <item x="0"/>
        <item t="default"/>
      </items>
    </pivotField>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9"/>
  </rowFields>
  <rowItems count="3">
    <i>
      <x/>
    </i>
    <i>
      <x v="1"/>
    </i>
    <i>
      <x v="2"/>
    </i>
  </rowItems>
  <colItems count="1">
    <i/>
  </colItems>
  <dataFields count="1">
    <dataField name=" Job Level" fld="18" subtotal="count" baseField="0" baseItem="0"/>
  </dataFields>
  <chartFormats count="4">
    <chartFormat chart="3"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F219B0C-D48F-47FC-B376-B4CEFDB210CB}"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AD3:AF6" firstHeaderRow="0"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axis="axisRow" dataField="1" compact="0" outline="0" showAll="0">
      <items count="4">
        <item x="2"/>
        <item x="1"/>
        <item x="0"/>
        <item t="default"/>
      </items>
    </pivotField>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items count="10">
        <item x="2"/>
        <item x="4"/>
        <item x="5"/>
        <item x="3"/>
        <item x="7"/>
        <item x="0"/>
        <item x="8"/>
        <item x="6"/>
        <item x="1"/>
        <item t="default"/>
      </items>
    </pivotField>
    <pivotField compact="0" outline="0" showAll="0"/>
    <pivotField dataField="1" compact="0" outline="0" showAll="0">
      <items count="3">
        <item x="0"/>
        <item x="1"/>
        <item t="default"/>
      </items>
    </pivotField>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9"/>
  </rowFields>
  <rowItems count="3">
    <i>
      <x/>
    </i>
    <i>
      <x v="1"/>
    </i>
    <i>
      <x v="2"/>
    </i>
  </rowItems>
  <colFields count="1">
    <field x="-2"/>
  </colFields>
  <colItems count="2">
    <i>
      <x/>
    </i>
    <i i="1">
      <x v="1"/>
    </i>
  </colItems>
  <dataFields count="2">
    <dataField name=" Job Level" fld="18" subtotal="count" baseField="0" baseItem="0"/>
    <dataField name=" Age Group" fld="9" subtotal="count" showDataAs="percentOfCol" baseField="0" baseItem="0" numFmtId="164"/>
  </dataFields>
  <formats count="1">
    <format dxfId="1">
      <pivotArea outline="0" fieldPosition="0">
        <references count="1">
          <reference field="4294967294" count="1" selected="0">
            <x v="1"/>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AB35AC3-78F5-4235-A3BB-A0CD3480BE3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B4" firstHeaderRow="1" firstDataRow="1" firstDataCol="0"/>
  <pivotFields count="26">
    <pivotField dataField="1" showAll="0"/>
    <pivotField showAll="0"/>
    <pivotField showAll="0"/>
    <pivotField showAll="0"/>
    <pivotField showAll="0"/>
    <pivotField showAll="0"/>
    <pivotField showAll="0"/>
    <pivotField numFmtId="14" showAll="0"/>
    <pivotField showAll="0"/>
    <pivotField showAll="0"/>
    <pivotField showAll="0"/>
    <pivotField showAll="0">
      <items count="19">
        <item x="11"/>
        <item x="2"/>
        <item x="13"/>
        <item x="0"/>
        <item x="4"/>
        <item x="10"/>
        <item x="8"/>
        <item x="14"/>
        <item x="5"/>
        <item x="12"/>
        <item x="1"/>
        <item x="3"/>
        <item x="7"/>
        <item x="9"/>
        <item x="15"/>
        <item x="17"/>
        <item x="6"/>
        <item x="16"/>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15">
        <item x="0"/>
        <item x="7"/>
        <item x="1"/>
        <item x="2"/>
        <item x="3"/>
        <item x="11"/>
        <item x="6"/>
        <item x="4"/>
        <item x="5"/>
        <item x="8"/>
        <item x="10"/>
        <item x="12"/>
        <item x="13"/>
        <item x="9"/>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Items count="1">
    <i/>
  </rowItems>
  <colItems count="1">
    <i/>
  </colItems>
  <dataFields count="1">
    <dataField name="Count of Em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86CD66B-1A29-4BF1-AE41-A59F7C1ECCCF}"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K3:M5" firstHeaderRow="0" firstDataRow="1" firstDataCol="1"/>
  <pivotFields count="26">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5"/>
  </rowFields>
  <rowItems count="2">
    <i>
      <x/>
    </i>
    <i>
      <x v="1"/>
    </i>
  </rowItems>
  <colFields count="1">
    <field x="-2"/>
  </colFields>
  <colItems count="2">
    <i>
      <x/>
    </i>
    <i i="1">
      <x v="1"/>
    </i>
  </colItems>
  <dataFields count="2">
    <dataField name="Count of Emp_ID" fld="0" subtotal="count" baseField="0" baseItem="0"/>
    <dataField name="Count of Emp_ID2" fld="0" subtotal="count" showDataAs="percentOfCol" baseField="0" baseItem="0" numFmtId="164"/>
  </dataFields>
  <formats count="1">
    <format dxfId="2">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657ABA1-36ED-4DEE-92E1-B1B5778F1BC8}"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U3:U12"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axis="axisRow" compact="0" outline="0" showAll="0">
      <items count="10">
        <item x="2"/>
        <item x="4"/>
        <item x="5"/>
        <item x="3"/>
        <item x="7"/>
        <item x="0"/>
        <item x="8"/>
        <item x="6"/>
        <item x="1"/>
        <item t="default"/>
      </items>
    </pivotField>
    <pivotField compact="0" outline="0" showAll="0"/>
    <pivotField compact="0" outline="0" showAll="0"/>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6"/>
  </rowFields>
  <rowItems count="9">
    <i>
      <x/>
    </i>
    <i>
      <x v="1"/>
    </i>
    <i>
      <x v="2"/>
    </i>
    <i>
      <x v="3"/>
    </i>
    <i>
      <x v="4"/>
    </i>
    <i>
      <x v="5"/>
    </i>
    <i>
      <x v="6"/>
    </i>
    <i>
      <x v="7"/>
    </i>
    <i>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CD8229B-FD7B-4E15-B25F-43826963280A}"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G3:I5" firstHeaderRow="0" firstDataRow="1" firstDataCol="1"/>
  <pivotFields count="26">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6"/>
  </rowFields>
  <rowItems count="2">
    <i>
      <x/>
    </i>
    <i>
      <x v="1"/>
    </i>
  </rowItems>
  <colFields count="1">
    <field x="-2"/>
  </colFields>
  <colItems count="2">
    <i>
      <x/>
    </i>
    <i i="1">
      <x v="1"/>
    </i>
  </colItems>
  <dataFields count="2">
    <dataField name="Count of Emp_ID" fld="0" subtotal="count" baseField="0" baseItem="0"/>
    <dataField name="Count of Emp_ID2" fld="0" subtotal="count" showDataAs="percentOfCo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30FAE91-6B1E-4CCF-8BF0-79F8253917D8}"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AL3:AM12"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items count="4">
        <item x="2"/>
        <item x="1"/>
        <item x="0"/>
        <item t="default"/>
      </items>
    </pivotField>
    <pivotField compact="0" outline="0" showAll="0">
      <items count="4">
        <item x="2"/>
        <item x="1"/>
        <item x="0"/>
        <item t="default"/>
      </items>
    </pivotField>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items count="10">
        <item x="2"/>
        <item x="4"/>
        <item x="5"/>
        <item x="3"/>
        <item x="7"/>
        <item x="0"/>
        <item x="8"/>
        <item x="6"/>
        <item x="1"/>
        <item t="default"/>
      </items>
    </pivotField>
    <pivotField axis="axisRow" compact="0" outline="0" showAll="0" sortType="descending">
      <items count="10">
        <item x="5"/>
        <item x="8"/>
        <item x="3"/>
        <item x="4"/>
        <item x="0"/>
        <item x="1"/>
        <item x="6"/>
        <item x="7"/>
        <item x="2"/>
        <item t="default"/>
      </items>
      <autoSortScope>
        <pivotArea dataOnly="0" outline="0" fieldPosition="0">
          <references count="1">
            <reference field="4294967294" count="1" selected="0">
              <x v="0"/>
            </reference>
          </references>
        </pivotArea>
      </autoSortScope>
    </pivotField>
    <pivotField dataField="1" compact="0" outline="0" showAll="0">
      <items count="3">
        <item x="0"/>
        <item x="1"/>
        <item t="default"/>
      </items>
    </pivotField>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7"/>
  </rowFields>
  <rowItems count="9">
    <i>
      <x v="8"/>
    </i>
    <i>
      <x v="3"/>
    </i>
    <i>
      <x v="2"/>
    </i>
    <i>
      <x v="5"/>
    </i>
    <i>
      <x v="1"/>
    </i>
    <i>
      <x v="7"/>
    </i>
    <i>
      <x v="4"/>
    </i>
    <i>
      <x v="6"/>
    </i>
    <i>
      <x/>
    </i>
  </rowItems>
  <colItems count="1">
    <i/>
  </colItems>
  <dataFields count="1">
    <dataField name=" Job Level" fld="18" subtotal="count" baseField="0" baseItem="0"/>
  </dataField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FC9D30-0185-495D-86CB-7031C5F6D3C5}"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R3:R17"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pivotField compact="0" outline="0" showAll="0"/>
    <pivotField compact="0" outline="0" showAll="0"/>
    <pivotField compact="0" outline="0" showAll="0"/>
    <pivotField axis="axisRow"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20"/>
  </rowFields>
  <rowItems count="14">
    <i>
      <x/>
    </i>
    <i>
      <x v="1"/>
    </i>
    <i>
      <x v="2"/>
    </i>
    <i>
      <x v="3"/>
    </i>
    <i>
      <x v="4"/>
    </i>
    <i>
      <x v="5"/>
    </i>
    <i>
      <x v="6"/>
    </i>
    <i>
      <x v="7"/>
    </i>
    <i>
      <x v="8"/>
    </i>
    <i>
      <x v="9"/>
    </i>
    <i>
      <x v="10"/>
    </i>
    <i>
      <x v="11"/>
    </i>
    <i>
      <x v="12"/>
    </i>
    <i>
      <x v="1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5DC2DE0-D2F6-4A32-9C1D-77EC1BA8E0F7}"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O3:P6" firstHeaderRow="1" firstDataRow="1" firstDataCol="1"/>
  <pivotFields count="26">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items count="19">
        <item x="11"/>
        <item x="2"/>
        <item x="13"/>
        <item x="0"/>
        <item x="4"/>
        <item x="10"/>
        <item x="8"/>
        <item x="14"/>
        <item x="5"/>
        <item x="12"/>
        <item x="1"/>
        <item x="3"/>
        <item x="7"/>
        <item x="9"/>
        <item x="15"/>
        <item x="17"/>
        <item x="6"/>
        <item x="16"/>
        <item t="default"/>
      </items>
    </pivotField>
    <pivotField axis="axisRow"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2"/>
  </rowFields>
  <rowItems count="3">
    <i>
      <x/>
    </i>
    <i>
      <x v="1"/>
    </i>
    <i>
      <x v="2"/>
    </i>
  </rowItems>
  <colItems count="1">
    <i/>
  </colItems>
  <dataFields count="1">
    <dataField name="Count of Em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AE66475-B5F9-475F-BD61-E9205C7A69B4}" name="PivotTable1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location ref="B5:L153" firstHeaderRow="1" firstDataRow="1" firstDataCol="11"/>
  <pivotFields count="26">
    <pivotField compact="0" outline="0" showAll="0" defaultSubtotal="0"/>
    <pivotField axis="axisRow" compact="0" outline="0" showAll="0" defaultSubtotal="0">
      <items count="5">
        <item x="1"/>
        <item x="3"/>
        <item x="2"/>
        <item x="0"/>
        <item x="4"/>
      </items>
    </pivotField>
    <pivotField compact="0" outline="0" showAll="0" defaultSubtotal="0"/>
    <pivotField compact="0" outline="0" showAll="0" defaultSubtotal="0"/>
    <pivotField compact="0" outline="0" showAll="0" defaultSubtotal="0"/>
    <pivotField axis="axisRow" compact="0" outline="0" showAll="0" defaultSubtotal="0">
      <items count="148">
        <item x="141"/>
        <item x="69"/>
        <item x="73"/>
        <item x="91"/>
        <item x="64"/>
        <item x="2"/>
        <item x="42"/>
        <item x="17"/>
        <item x="37"/>
        <item x="147"/>
        <item x="41"/>
        <item x="74"/>
        <item x="19"/>
        <item x="144"/>
        <item x="134"/>
        <item x="99"/>
        <item x="84"/>
        <item x="76"/>
        <item x="110"/>
        <item x="12"/>
        <item x="65"/>
        <item x="45"/>
        <item x="87"/>
        <item x="121"/>
        <item x="126"/>
        <item x="1"/>
        <item x="11"/>
        <item x="20"/>
        <item x="8"/>
        <item x="106"/>
        <item x="112"/>
        <item x="40"/>
        <item x="66"/>
        <item x="104"/>
        <item x="31"/>
        <item x="86"/>
        <item x="34"/>
        <item x="103"/>
        <item x="43"/>
        <item x="83"/>
        <item x="47"/>
        <item x="129"/>
        <item x="26"/>
        <item x="15"/>
        <item x="72"/>
        <item x="24"/>
        <item x="3"/>
        <item x="10"/>
        <item x="138"/>
        <item x="30"/>
        <item x="52"/>
        <item x="58"/>
        <item x="63"/>
        <item x="77"/>
        <item x="135"/>
        <item x="125"/>
        <item x="145"/>
        <item x="88"/>
        <item x="89"/>
        <item x="90"/>
        <item x="25"/>
        <item x="95"/>
        <item x="61"/>
        <item x="115"/>
        <item x="81"/>
        <item x="92"/>
        <item x="108"/>
        <item x="59"/>
        <item x="117"/>
        <item x="68"/>
        <item x="7"/>
        <item x="62"/>
        <item x="49"/>
        <item x="27"/>
        <item x="118"/>
        <item x="5"/>
        <item x="50"/>
        <item x="79"/>
        <item x="96"/>
        <item x="16"/>
        <item x="13"/>
        <item x="0"/>
        <item x="139"/>
        <item x="9"/>
        <item x="38"/>
        <item x="101"/>
        <item x="35"/>
        <item x="60"/>
        <item x="107"/>
        <item x="111"/>
        <item x="146"/>
        <item x="33"/>
        <item x="100"/>
        <item x="48"/>
        <item x="127"/>
        <item x="82"/>
        <item x="142"/>
        <item x="94"/>
        <item x="29"/>
        <item x="136"/>
        <item x="4"/>
        <item x="57"/>
        <item x="120"/>
        <item x="70"/>
        <item x="132"/>
        <item x="131"/>
        <item x="109"/>
        <item x="119"/>
        <item x="130"/>
        <item x="102"/>
        <item x="51"/>
        <item x="78"/>
        <item x="39"/>
        <item x="143"/>
        <item x="105"/>
        <item x="113"/>
        <item x="36"/>
        <item x="97"/>
        <item x="140"/>
        <item x="128"/>
        <item x="28"/>
        <item x="44"/>
        <item x="23"/>
        <item x="137"/>
        <item x="22"/>
        <item x="123"/>
        <item x="98"/>
        <item x="80"/>
        <item x="71"/>
        <item x="54"/>
        <item x="114"/>
        <item x="93"/>
        <item x="32"/>
        <item x="116"/>
        <item x="75"/>
        <item x="6"/>
        <item x="53"/>
        <item x="21"/>
        <item x="133"/>
        <item x="85"/>
        <item x="46"/>
        <item x="56"/>
        <item x="55"/>
        <item x="124"/>
        <item x="67"/>
        <item x="18"/>
        <item x="122"/>
        <item x="14"/>
      </items>
    </pivotField>
    <pivotField axis="axisRow" compact="0" outline="0" showAll="0" defaultSubtotal="0">
      <items count="2">
        <item x="0"/>
        <item x="1"/>
      </items>
    </pivotField>
    <pivotField compact="0" numFmtId="14" outline="0" showAll="0" defaultSubtotal="0"/>
    <pivotField axis="axisRow" compact="0" outline="0" showAll="0" defaultSubtotal="0">
      <items count="28">
        <item x="27"/>
        <item x="21"/>
        <item x="23"/>
        <item x="20"/>
        <item x="22"/>
        <item x="18"/>
        <item x="19"/>
        <item x="13"/>
        <item x="14"/>
        <item x="24"/>
        <item x="12"/>
        <item x="11"/>
        <item x="10"/>
        <item x="9"/>
        <item x="17"/>
        <item x="7"/>
        <item x="8"/>
        <item x="5"/>
        <item x="4"/>
        <item x="6"/>
        <item x="1"/>
        <item x="16"/>
        <item x="3"/>
        <item x="2"/>
        <item x="15"/>
        <item x="26"/>
        <item x="0"/>
        <item x="25"/>
      </items>
    </pivotField>
    <pivotField compact="0" outline="0" showAll="0" defaultSubtotal="0"/>
    <pivotField axis="axisRow" compact="0" outline="0" showAll="0" defaultSubtotal="0">
      <items count="3">
        <item x="2"/>
        <item x="1"/>
        <item x="0"/>
      </items>
    </pivotField>
    <pivotField axis="axisRow" compact="0" outline="0" showAll="0" defaultSubtotal="0">
      <items count="18">
        <item x="11"/>
        <item x="2"/>
        <item x="13"/>
        <item x="0"/>
        <item x="4"/>
        <item x="10"/>
        <item x="8"/>
        <item x="14"/>
        <item x="5"/>
        <item x="12"/>
        <item x="1"/>
        <item x="3"/>
        <item x="7"/>
        <item x="9"/>
        <item x="15"/>
        <item x="17"/>
        <item x="6"/>
        <item x="16"/>
      </items>
    </pivotField>
    <pivotField axis="axisRow" compact="0" outline="0" showAll="0" defaultSubtotal="0">
      <items count="3">
        <item x="2"/>
        <item x="0"/>
        <item x="1"/>
      </items>
    </pivotField>
    <pivotField axis="axisRow" compact="0" outline="0" showAll="0" defaultSubtotal="0">
      <items count="148">
        <item x="25"/>
        <item x="68"/>
        <item x="20"/>
        <item x="83"/>
        <item x="52"/>
        <item x="3"/>
        <item x="101"/>
        <item x="2"/>
        <item x="29"/>
        <item x="60"/>
        <item x="35"/>
        <item x="91"/>
        <item x="73"/>
        <item x="36"/>
        <item x="50"/>
        <item x="33"/>
        <item x="26"/>
        <item x="62"/>
        <item x="61"/>
        <item x="23"/>
        <item x="31"/>
        <item x="19"/>
        <item x="18"/>
        <item x="1"/>
        <item x="27"/>
        <item x="21"/>
        <item x="17"/>
        <item x="7"/>
        <item x="64"/>
        <item x="34"/>
        <item x="32"/>
        <item x="58"/>
        <item x="92"/>
        <item x="84"/>
        <item x="85"/>
        <item x="86"/>
        <item x="89"/>
        <item x="43"/>
        <item x="67"/>
        <item x="65"/>
        <item x="72"/>
        <item x="66"/>
        <item x="122"/>
        <item x="138"/>
        <item x="42"/>
        <item x="132"/>
        <item x="126"/>
        <item x="13"/>
        <item x="120"/>
        <item x="115"/>
        <item x="116"/>
        <item x="12"/>
        <item x="55"/>
        <item x="8"/>
        <item x="103"/>
        <item x="38"/>
        <item x="77"/>
        <item x="108"/>
        <item x="48"/>
        <item x="79"/>
        <item x="141"/>
        <item x="4"/>
        <item x="93"/>
        <item x="97"/>
        <item x="121"/>
        <item x="134"/>
        <item x="127"/>
        <item x="46"/>
        <item x="124"/>
        <item x="113"/>
        <item x="100"/>
        <item x="123"/>
        <item x="76"/>
        <item x="37"/>
        <item x="119"/>
        <item x="146"/>
        <item x="80"/>
        <item x="140"/>
        <item x="49"/>
        <item x="147"/>
        <item x="131"/>
        <item x="143"/>
        <item x="15"/>
        <item x="114"/>
        <item x="94"/>
        <item x="22"/>
        <item x="96"/>
        <item x="56"/>
        <item x="10"/>
        <item x="6"/>
        <item x="118"/>
        <item x="45"/>
        <item x="70"/>
        <item x="98"/>
        <item x="107"/>
        <item x="102"/>
        <item x="99"/>
        <item x="9"/>
        <item x="78"/>
        <item x="47"/>
        <item x="16"/>
        <item x="135"/>
        <item x="82"/>
        <item x="41"/>
        <item x="0"/>
        <item x="128"/>
        <item x="11"/>
        <item x="117"/>
        <item x="130"/>
        <item x="129"/>
        <item x="69"/>
        <item x="39"/>
        <item x="104"/>
        <item x="95"/>
        <item x="54"/>
        <item x="112"/>
        <item x="139"/>
        <item x="133"/>
        <item x="111"/>
        <item x="110"/>
        <item x="44"/>
        <item x="137"/>
        <item x="90"/>
        <item x="106"/>
        <item x="74"/>
        <item x="105"/>
        <item x="71"/>
        <item x="81"/>
        <item x="142"/>
        <item x="63"/>
        <item x="40"/>
        <item x="88"/>
        <item x="75"/>
        <item x="87"/>
        <item x="14"/>
        <item x="24"/>
        <item x="144"/>
        <item x="145"/>
        <item x="136"/>
        <item x="53"/>
        <item x="125"/>
        <item x="5"/>
        <item x="109"/>
        <item x="59"/>
        <item x="57"/>
        <item x="51"/>
        <item x="30"/>
        <item x="28"/>
      </items>
    </pivotField>
    <pivotField compact="0" numFmtId="14"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compact="0" outline="0" showAll="0" defaultSubtotal="0">
      <items count="2">
        <item x="0"/>
        <item x="1"/>
      </items>
    </pivotField>
    <pivotField axis="axisRow" compact="0" outline="0" showAll="0" defaultSubtotal="0">
      <items count="9">
        <item x="2"/>
        <item x="4"/>
        <item x="5"/>
        <item x="3"/>
        <item x="7"/>
        <item x="0"/>
        <item x="8"/>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name="Employment Year" axis="axisRow" compact="0" outline="0" showAll="0" defaultSubtotal="0">
      <items count="2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s>
    </pivotField>
  </pivotFields>
  <rowFields count="11">
    <field x="5"/>
    <field x="1"/>
    <field x="6"/>
    <field x="8"/>
    <field x="10"/>
    <field x="11"/>
    <field x="12"/>
    <field x="16"/>
    <field x="15"/>
    <field x="13"/>
    <field x="25"/>
  </rowFields>
  <rowItems count="148">
    <i>
      <x/>
      <x/>
      <x v="1"/>
      <x v="1"/>
      <x v="2"/>
      <x v="1"/>
      <x v="2"/>
      <x v="7"/>
      <x/>
      <x v="60"/>
      <x v="26"/>
    </i>
    <i>
      <x v="1"/>
      <x/>
      <x v="1"/>
      <x v="3"/>
      <x v="2"/>
      <x v="10"/>
      <x v="2"/>
      <x v="1"/>
      <x/>
      <x v="110"/>
      <x v="24"/>
    </i>
    <i>
      <x v="2"/>
      <x v="3"/>
      <x/>
      <x v="3"/>
      <x/>
      <x v="2"/>
      <x v="2"/>
      <x v="8"/>
      <x/>
      <x v="12"/>
      <x v="24"/>
    </i>
    <i>
      <x v="3"/>
      <x/>
      <x v="1"/>
      <x v="9"/>
      <x/>
      <x v="2"/>
      <x v="1"/>
      <x v="8"/>
      <x/>
      <x v="11"/>
      <x v="25"/>
    </i>
    <i>
      <x v="4"/>
      <x/>
      <x v="1"/>
      <x v="6"/>
      <x v="2"/>
      <x v="4"/>
      <x v="2"/>
      <x v="8"/>
      <x/>
      <x v="28"/>
      <x v="24"/>
    </i>
    <i>
      <x v="5"/>
      <x v="2"/>
      <x/>
      <x v="23"/>
      <x v="2"/>
      <x v="10"/>
      <x v="1"/>
      <x v="8"/>
      <x/>
      <x v="7"/>
      <x v="9"/>
    </i>
    <i>
      <x v="6"/>
      <x v="3"/>
      <x/>
      <x v="20"/>
      <x v="2"/>
      <x v="4"/>
      <x v="2"/>
      <x v="1"/>
      <x/>
      <x v="44"/>
      <x v="21"/>
    </i>
    <i>
      <x v="7"/>
      <x v="2"/>
      <x/>
      <x v="13"/>
      <x v="2"/>
      <x v="4"/>
      <x v="1"/>
      <x v="8"/>
      <x/>
      <x v="26"/>
      <x v="16"/>
    </i>
    <i>
      <x v="8"/>
      <x/>
      <x v="1"/>
      <x v="24"/>
      <x v="2"/>
      <x v="4"/>
      <x v="1"/>
      <x/>
      <x v="1"/>
      <x v="73"/>
      <x v="21"/>
    </i>
    <i>
      <x v="9"/>
      <x v="1"/>
      <x v="1"/>
      <x v="23"/>
      <x v="2"/>
      <x v="7"/>
      <x v="1"/>
      <x v="7"/>
      <x/>
      <x v="79"/>
      <x v="27"/>
    </i>
    <i>
      <x v="10"/>
      <x/>
      <x v="1"/>
      <x v="8"/>
      <x v="2"/>
      <x v="10"/>
      <x v="2"/>
      <x v="7"/>
      <x/>
      <x v="103"/>
      <x v="21"/>
    </i>
    <i>
      <x v="11"/>
      <x/>
      <x v="1"/>
      <x v="2"/>
      <x v="2"/>
      <x v="10"/>
      <x v="2"/>
      <x v="8"/>
      <x/>
      <x v="124"/>
      <x v="24"/>
    </i>
    <i>
      <x v="12"/>
      <x v="2"/>
      <x/>
      <x v="13"/>
      <x v="2"/>
      <x v="4"/>
      <x v="1"/>
      <x v="8"/>
      <x/>
      <x v="21"/>
      <x v="16"/>
    </i>
    <i>
      <x v="13"/>
      <x/>
      <x v="1"/>
      <x v="6"/>
      <x v="2"/>
      <x v="1"/>
      <x v="2"/>
      <x v="7"/>
      <x/>
      <x v="136"/>
      <x v="26"/>
    </i>
    <i>
      <x v="14"/>
      <x/>
      <x v="1"/>
      <x v="2"/>
      <x v="2"/>
      <x v="14"/>
      <x v="1"/>
      <x v="7"/>
      <x/>
      <x v="65"/>
      <x v="26"/>
    </i>
    <i>
      <x v="15"/>
      <x v="1"/>
      <x v="1"/>
      <x v="7"/>
      <x v="2"/>
      <x v="17"/>
      <x v="1"/>
      <x v="7"/>
      <x/>
      <x v="96"/>
      <x v="25"/>
    </i>
    <i>
      <x v="16"/>
      <x/>
      <x v="1"/>
      <x v="3"/>
      <x v="2"/>
      <x v="12"/>
      <x v="2"/>
      <x v="8"/>
      <x/>
      <x v="33"/>
      <x v="24"/>
    </i>
    <i>
      <x v="17"/>
      <x/>
      <x v="1"/>
      <x v="1"/>
      <x v="2"/>
      <x v="7"/>
      <x v="2"/>
      <x v="7"/>
      <x/>
      <x v="72"/>
      <x v="24"/>
    </i>
    <i>
      <x v="18"/>
      <x v="3"/>
      <x/>
      <x v="10"/>
      <x/>
      <x v="3"/>
      <x/>
      <x v="7"/>
      <x/>
      <x v="119"/>
      <x v="25"/>
    </i>
    <i>
      <x v="19"/>
      <x/>
      <x v="1"/>
      <x v="15"/>
      <x v="2"/>
      <x v="11"/>
      <x v="1"/>
      <x v="7"/>
      <x/>
      <x v="51"/>
      <x v="14"/>
    </i>
    <i>
      <x v="20"/>
      <x/>
      <x v="1"/>
      <x v="22"/>
      <x v="1"/>
      <x v="3"/>
      <x v="1"/>
      <x v="8"/>
      <x/>
      <x v="39"/>
      <x v="24"/>
    </i>
    <i>
      <x v="21"/>
      <x/>
      <x v="1"/>
      <x v="13"/>
      <x v="1"/>
      <x v="3"/>
      <x v="1"/>
      <x v="7"/>
      <x/>
      <x v="91"/>
      <x v="22"/>
    </i>
    <i>
      <x v="22"/>
      <x/>
      <x v="1"/>
      <x v="6"/>
      <x v="2"/>
      <x v="4"/>
      <x v="2"/>
      <x v="8"/>
      <x/>
      <x v="133"/>
      <x v="25"/>
    </i>
    <i>
      <x v="23"/>
      <x/>
      <x v="1"/>
      <x v="2"/>
      <x v="2"/>
      <x v="4"/>
      <x v="2"/>
      <x v="4"/>
      <x/>
      <x v="64"/>
      <x v="26"/>
    </i>
    <i>
      <x v="24"/>
      <x/>
      <x v="1"/>
      <x v="4"/>
      <x v="2"/>
      <x v="1"/>
      <x v="2"/>
      <x v="7"/>
      <x/>
      <x v="46"/>
      <x v="26"/>
    </i>
    <i>
      <x v="25"/>
      <x/>
      <x v="1"/>
      <x v="20"/>
      <x v="2"/>
      <x v="3"/>
      <x v="1"/>
      <x v="8"/>
      <x/>
      <x v="23"/>
      <x v="7"/>
    </i>
    <i>
      <x v="26"/>
      <x/>
      <x v="1"/>
      <x v="18"/>
      <x v="1"/>
      <x v="3"/>
      <x v="1"/>
      <x v="7"/>
      <x/>
      <x v="106"/>
      <x v="14"/>
    </i>
    <i>
      <x v="27"/>
      <x v="3"/>
      <x/>
      <x v="13"/>
      <x v="2"/>
      <x v="1"/>
      <x v="1"/>
      <x v="8"/>
      <x/>
      <x v="2"/>
      <x v="17"/>
    </i>
    <i>
      <x v="28"/>
      <x v="3"/>
      <x/>
      <x v="17"/>
      <x/>
      <x v="11"/>
      <x v="1"/>
      <x v="2"/>
      <x/>
      <x v="53"/>
      <x v="12"/>
    </i>
    <i>
      <x v="29"/>
      <x v="3"/>
      <x/>
      <x v="9"/>
      <x v="1"/>
      <x v="3"/>
      <x v="2"/>
      <x v="7"/>
      <x/>
      <x v="123"/>
      <x v="25"/>
    </i>
    <i>
      <x v="30"/>
      <x/>
      <x v="1"/>
      <x v="7"/>
      <x v="2"/>
      <x v="11"/>
      <x v="2"/>
      <x v="4"/>
      <x/>
      <x v="115"/>
      <x v="25"/>
    </i>
    <i>
      <x v="31"/>
      <x/>
      <x v="1"/>
      <x v="15"/>
      <x v="2"/>
      <x v="1"/>
      <x v="1"/>
      <x v="5"/>
      <x/>
      <x v="130"/>
      <x v="21"/>
    </i>
    <i>
      <x v="32"/>
      <x/>
      <x v="1"/>
      <x v="5"/>
      <x v="2"/>
      <x v="9"/>
      <x v="1"/>
      <x v="8"/>
      <x v="1"/>
      <x v="41"/>
      <x v="24"/>
    </i>
    <i>
      <x v="33"/>
      <x/>
      <x v="1"/>
      <x v="9"/>
      <x/>
      <x v="11"/>
      <x v="1"/>
      <x v="7"/>
      <x/>
      <x v="112"/>
      <x v="25"/>
    </i>
    <i>
      <x v="34"/>
      <x v="4"/>
      <x/>
      <x v="17"/>
      <x v="2"/>
      <x v="4"/>
      <x v="1"/>
      <x v="8"/>
      <x/>
      <x v="20"/>
      <x v="19"/>
    </i>
    <i>
      <x v="35"/>
      <x/>
      <x v="1"/>
      <x v="5"/>
      <x v="2"/>
      <x v="12"/>
      <x v="1"/>
      <x v="8"/>
      <x/>
      <x v="35"/>
      <x v="24"/>
    </i>
    <i>
      <x v="36"/>
      <x/>
      <x v="1"/>
      <x v="7"/>
      <x v="1"/>
      <x v="3"/>
      <x v="2"/>
      <x v="8"/>
      <x/>
      <x v="29"/>
      <x v="20"/>
    </i>
    <i>
      <x v="37"/>
      <x/>
      <x v="1"/>
      <x v="6"/>
      <x v="2"/>
      <x v="14"/>
      <x v="1"/>
      <x v="7"/>
      <x/>
      <x v="54"/>
      <x v="25"/>
    </i>
    <i>
      <x v="38"/>
      <x/>
      <x v="1"/>
      <x v="19"/>
      <x v="2"/>
      <x v="12"/>
      <x v="1"/>
      <x v="6"/>
      <x/>
      <x v="37"/>
      <x v="21"/>
    </i>
    <i>
      <x v="39"/>
      <x/>
      <x v="1"/>
      <x v="11"/>
      <x v="2"/>
      <x v="6"/>
      <x v="1"/>
      <x v="8"/>
      <x/>
      <x v="3"/>
      <x v="24"/>
    </i>
    <i>
      <x v="40"/>
      <x/>
      <x v="1"/>
      <x v="18"/>
      <x v="2"/>
      <x v="10"/>
      <x v="1"/>
      <x v="7"/>
      <x/>
      <x v="99"/>
      <x v="23"/>
    </i>
    <i>
      <x v="41"/>
      <x/>
      <x v="1"/>
      <x v="27"/>
      <x v="2"/>
      <x v="1"/>
      <x v="1"/>
      <x v="7"/>
      <x/>
      <x v="109"/>
      <x v="26"/>
    </i>
    <i>
      <x v="42"/>
      <x/>
      <x/>
      <x v="11"/>
      <x/>
      <x v="8"/>
      <x v="1"/>
      <x v="8"/>
      <x/>
      <x v="16"/>
      <x v="18"/>
    </i>
    <i>
      <x v="43"/>
      <x/>
      <x v="1"/>
      <x v="15"/>
      <x v="2"/>
      <x v="11"/>
      <x v="1"/>
      <x v="7"/>
      <x/>
      <x v="82"/>
      <x v="15"/>
    </i>
    <i>
      <x v="44"/>
      <x/>
      <x v="1"/>
      <x v="5"/>
      <x v="2"/>
      <x v="9"/>
      <x v="1"/>
      <x v="8"/>
      <x/>
      <x v="40"/>
      <x v="24"/>
    </i>
    <i>
      <x v="45"/>
      <x v="3"/>
      <x/>
      <x v="17"/>
      <x v="1"/>
      <x v="3"/>
      <x v="1"/>
      <x v="2"/>
      <x v="1"/>
      <x v="135"/>
      <x v="17"/>
    </i>
    <i>
      <x v="46"/>
      <x v="3"/>
      <x/>
      <x v="20"/>
      <x v="2"/>
      <x v="1"/>
      <x v="1"/>
      <x v="8"/>
      <x/>
      <x v="5"/>
      <x v="9"/>
    </i>
    <i>
      <x v="47"/>
      <x/>
      <x v="1"/>
      <x v="19"/>
      <x v="1"/>
      <x v="3"/>
      <x v="1"/>
      <x/>
      <x/>
      <x v="88"/>
      <x v="14"/>
    </i>
    <i>
      <x v="48"/>
      <x/>
      <x v="1"/>
      <x v="3"/>
      <x/>
      <x v="1"/>
      <x v="2"/>
      <x v="7"/>
      <x/>
      <x v="43"/>
      <x v="26"/>
    </i>
    <i>
      <x v="49"/>
      <x/>
      <x v="1"/>
      <x v="12"/>
      <x v="2"/>
      <x v="8"/>
      <x v="1"/>
      <x v="8"/>
      <x v="1"/>
      <x v="146"/>
      <x v="19"/>
    </i>
    <i>
      <x v="50"/>
      <x v="3"/>
      <x/>
      <x v="8"/>
      <x v="2"/>
      <x v="1"/>
      <x v="1"/>
      <x v="8"/>
      <x/>
      <x v="4"/>
      <x v="23"/>
    </i>
    <i>
      <x v="51"/>
      <x/>
      <x v="1"/>
      <x v="4"/>
      <x v="2"/>
      <x v="5"/>
      <x v="1"/>
      <x v="8"/>
      <x/>
      <x v="31"/>
      <x v="24"/>
    </i>
    <i>
      <x v="52"/>
      <x/>
      <x v="1"/>
      <x v="13"/>
      <x v="2"/>
      <x v="4"/>
      <x v="2"/>
      <x v="4"/>
      <x/>
      <x v="129"/>
      <x v="24"/>
    </i>
    <i>
      <x v="53"/>
      <x/>
      <x v="1"/>
      <x v="15"/>
      <x v="2"/>
      <x v="4"/>
      <x v="1"/>
      <x v="7"/>
      <x/>
      <x v="56"/>
      <x v="24"/>
    </i>
    <i>
      <x v="54"/>
      <x/>
      <x v="1"/>
      <x v="13"/>
      <x v="2"/>
      <x v="4"/>
      <x v="1"/>
      <x v="7"/>
      <x/>
      <x v="101"/>
      <x v="26"/>
    </i>
    <i>
      <x v="55"/>
      <x/>
      <x v="1"/>
      <x v="10"/>
      <x v="2"/>
      <x v="14"/>
      <x v="1"/>
      <x v="4"/>
      <x/>
      <x v="140"/>
      <x v="26"/>
    </i>
    <i>
      <x v="56"/>
      <x/>
      <x v="1"/>
      <x v="1"/>
      <x v="2"/>
      <x v="14"/>
      <x v="2"/>
      <x v="7"/>
      <x/>
      <x v="137"/>
      <x v="26"/>
    </i>
    <i>
      <x v="57"/>
      <x/>
      <x v="1"/>
      <x v="8"/>
      <x v="2"/>
      <x v="14"/>
      <x v="1"/>
      <x v="8"/>
      <x/>
      <x v="131"/>
      <x v="25"/>
    </i>
    <i>
      <x v="58"/>
      <x/>
      <x v="1"/>
      <x v="14"/>
      <x v="2"/>
      <x v="12"/>
      <x v="1"/>
      <x v="8"/>
      <x/>
      <x v="36"/>
      <x v="25"/>
    </i>
    <i>
      <x v="59"/>
      <x/>
      <x v="1"/>
      <x v="7"/>
      <x v="2"/>
      <x v="1"/>
      <x v="1"/>
      <x v="8"/>
      <x v="1"/>
      <x v="122"/>
      <x v="25"/>
    </i>
    <i>
      <x v="60"/>
      <x v="1"/>
      <x v="1"/>
      <x v="11"/>
      <x v="2"/>
      <x v="1"/>
      <x v="1"/>
      <x v="8"/>
      <x/>
      <x/>
      <x v="18"/>
    </i>
    <i>
      <x v="61"/>
      <x v="3"/>
      <x/>
      <x v="11"/>
      <x/>
      <x v="3"/>
      <x v="2"/>
      <x v="8"/>
      <x/>
      <x v="113"/>
      <x v="25"/>
    </i>
    <i>
      <x v="62"/>
      <x v="3"/>
      <x v="1"/>
      <x v="2"/>
      <x v="2"/>
      <x v="8"/>
      <x v="2"/>
      <x v="8"/>
      <x/>
      <x v="18"/>
      <x v="24"/>
    </i>
    <i>
      <x v="63"/>
      <x/>
      <x v="1"/>
      <x v="15"/>
      <x v="2"/>
      <x v="11"/>
      <x v="1"/>
      <x v="4"/>
      <x/>
      <x v="49"/>
      <x v="26"/>
    </i>
    <i>
      <x v="64"/>
      <x/>
      <x v="1"/>
      <x v="10"/>
      <x/>
      <x v="11"/>
      <x v="2"/>
      <x v="7"/>
      <x/>
      <x v="127"/>
      <x v="24"/>
    </i>
    <i>
      <x v="65"/>
      <x/>
      <x v="1"/>
      <x v="4"/>
      <x v="2"/>
      <x v="12"/>
      <x v="1"/>
      <x v="8"/>
      <x/>
      <x v="32"/>
      <x v="25"/>
    </i>
    <i>
      <x v="66"/>
      <x/>
      <x v="1"/>
      <x v="14"/>
      <x/>
      <x v="11"/>
      <x v="1"/>
      <x v="7"/>
      <x/>
      <x v="57"/>
      <x v="25"/>
    </i>
    <i>
      <x v="67"/>
      <x/>
      <x v="1"/>
      <x v="6"/>
      <x v="2"/>
      <x/>
      <x v="1"/>
      <x v="8"/>
      <x/>
      <x v="143"/>
      <x v="24"/>
    </i>
    <i>
      <x v="68"/>
      <x/>
      <x v="1"/>
      <x v="1"/>
      <x/>
      <x v="11"/>
      <x v="2"/>
      <x v="7"/>
      <x/>
      <x v="107"/>
      <x v="26"/>
    </i>
    <i>
      <x v="69"/>
      <x v="4"/>
      <x/>
      <x v="12"/>
      <x/>
      <x v="1"/>
      <x v="1"/>
      <x v="6"/>
      <x/>
      <x v="1"/>
      <x v="24"/>
    </i>
    <i>
      <x v="70"/>
      <x v="3"/>
      <x/>
      <x v="19"/>
      <x v="2"/>
      <x v="11"/>
      <x v="1"/>
      <x v="8"/>
      <x v="1"/>
      <x v="27"/>
      <x v="11"/>
    </i>
    <i>
      <x v="71"/>
      <x/>
      <x v="1"/>
      <x v="5"/>
      <x/>
      <x v="8"/>
      <x v="2"/>
      <x v="8"/>
      <x/>
      <x v="17"/>
      <x v="24"/>
    </i>
    <i>
      <x v="72"/>
      <x/>
      <x v="1"/>
      <x v="5"/>
      <x v="2"/>
      <x v="10"/>
      <x v="1"/>
      <x v="7"/>
      <x/>
      <x v="78"/>
      <x v="23"/>
    </i>
    <i>
      <x v="73"/>
      <x/>
      <x v="1"/>
      <x v="10"/>
      <x v="2"/>
      <x v="4"/>
      <x v="1"/>
      <x v="8"/>
      <x/>
      <x v="24"/>
      <x v="18"/>
    </i>
    <i>
      <x v="74"/>
      <x/>
      <x v="1"/>
      <x v="3"/>
      <x/>
      <x v="11"/>
      <x v="2"/>
      <x v="7"/>
      <x/>
      <x v="90"/>
      <x v="26"/>
    </i>
    <i>
      <x v="75"/>
      <x/>
      <x v="1"/>
      <x v="18"/>
      <x v="1"/>
      <x v="3"/>
      <x v="1"/>
      <x v="3"/>
      <x/>
      <x v="141"/>
      <x v="9"/>
    </i>
    <i>
      <x v="76"/>
      <x v="3"/>
      <x/>
      <x v="6"/>
      <x/>
      <x v="16"/>
      <x v="2"/>
      <x v="8"/>
      <x/>
      <x v="14"/>
      <x v="23"/>
    </i>
    <i>
      <x v="77"/>
      <x v="1"/>
      <x v="1"/>
      <x v="8"/>
      <x v="2"/>
      <x v="14"/>
      <x v="1"/>
      <x v="7"/>
      <x/>
      <x v="59"/>
      <x v="24"/>
    </i>
    <i>
      <x v="78"/>
      <x/>
      <x v="1"/>
      <x v="21"/>
      <x v="2"/>
      <x v="10"/>
      <x v="1"/>
      <x v="7"/>
      <x/>
      <x v="86"/>
      <x v="25"/>
    </i>
    <i>
      <x v="79"/>
      <x/>
      <x v="1"/>
      <x v="13"/>
      <x v="1"/>
      <x v="3"/>
      <x v="1"/>
      <x/>
      <x/>
      <x v="100"/>
      <x v="16"/>
    </i>
    <i>
      <x v="80"/>
      <x/>
      <x v="1"/>
      <x v="15"/>
      <x v="1"/>
      <x v="3"/>
      <x v="1"/>
      <x v="5"/>
      <x/>
      <x v="47"/>
      <x v="14"/>
    </i>
    <i>
      <x v="81"/>
      <x v="3"/>
      <x/>
      <x v="26"/>
      <x v="2"/>
      <x v="3"/>
      <x v="1"/>
      <x v="5"/>
      <x/>
      <x v="104"/>
      <x v="1"/>
    </i>
    <i>
      <x v="82"/>
      <x/>
      <x v="1"/>
      <x v="1"/>
      <x v="2"/>
      <x v="1"/>
      <x v="2"/>
      <x v="7"/>
      <x/>
      <x v="116"/>
      <x v="26"/>
    </i>
    <i>
      <x v="83"/>
      <x/>
      <x v="1"/>
      <x v="19"/>
      <x v="1"/>
      <x v="3"/>
      <x v="1"/>
      <x v="5"/>
      <x/>
      <x v="97"/>
      <x v="14"/>
    </i>
    <i>
      <x v="84"/>
      <x/>
      <x v="1"/>
      <x v="16"/>
      <x v="2"/>
      <x v="4"/>
      <x v="1"/>
      <x v="3"/>
      <x/>
      <x v="55"/>
      <x v="21"/>
    </i>
    <i>
      <x v="85"/>
      <x/>
      <x v="1"/>
      <x v="3"/>
      <x v="2"/>
      <x v="1"/>
      <x v="2"/>
      <x v="8"/>
      <x/>
      <x v="6"/>
      <x v="25"/>
    </i>
    <i>
      <x v="86"/>
      <x/>
      <x v="1"/>
      <x v="8"/>
      <x v="2"/>
      <x v="1"/>
      <x v="1"/>
      <x v="8"/>
      <x/>
      <x v="10"/>
      <x v="20"/>
    </i>
    <i>
      <x v="87"/>
      <x/>
      <x v="1"/>
      <x v="5"/>
      <x v="2"/>
      <x v="1"/>
      <x v="1"/>
      <x v="8"/>
      <x/>
      <x v="9"/>
      <x v="24"/>
    </i>
    <i>
      <x v="88"/>
      <x v="1"/>
      <x v="1"/>
      <x v="9"/>
      <x v="2"/>
      <x v="14"/>
      <x v="1"/>
      <x v="7"/>
      <x/>
      <x v="94"/>
      <x v="25"/>
    </i>
    <i>
      <x v="89"/>
      <x/>
      <x v="1"/>
      <x v="10"/>
      <x v="2"/>
      <x v="6"/>
      <x v="1"/>
      <x v="7"/>
      <x/>
      <x v="118"/>
      <x v="25"/>
    </i>
    <i>
      <x v="90"/>
      <x/>
      <x v="1"/>
      <x/>
      <x v="2"/>
      <x v="1"/>
      <x v="2"/>
      <x v="7"/>
      <x/>
      <x v="75"/>
      <x v="26"/>
    </i>
    <i>
      <x v="91"/>
      <x v="2"/>
      <x/>
      <x v="10"/>
      <x/>
      <x v="8"/>
      <x v="2"/>
      <x v="8"/>
      <x/>
      <x v="15"/>
      <x v="20"/>
    </i>
    <i>
      <x v="92"/>
      <x v="1"/>
      <x v="1"/>
      <x v="7"/>
      <x v="2"/>
      <x v="17"/>
      <x v="1"/>
      <x v="7"/>
      <x/>
      <x v="70"/>
      <x v="25"/>
    </i>
    <i>
      <x v="93"/>
      <x/>
      <x v="1"/>
      <x v="13"/>
      <x v="2"/>
      <x v="6"/>
      <x v="1"/>
      <x v="7"/>
      <x/>
      <x v="58"/>
      <x v="23"/>
    </i>
    <i>
      <x v="94"/>
      <x/>
      <x v="1"/>
      <x v="2"/>
      <x v="2"/>
      <x v="14"/>
      <x v="1"/>
      <x v="7"/>
      <x/>
      <x v="66"/>
      <x v="26"/>
    </i>
    <i>
      <x v="95"/>
      <x/>
      <x v="1"/>
      <x v="14"/>
      <x v="2"/>
      <x v="10"/>
      <x v="1"/>
      <x v="1"/>
      <x/>
      <x v="102"/>
      <x v="24"/>
    </i>
    <i>
      <x v="96"/>
      <x v="3"/>
      <x/>
      <x v="3"/>
      <x v="2"/>
      <x v="3"/>
      <x v="2"/>
      <x v="2"/>
      <x/>
      <x v="128"/>
      <x v="26"/>
    </i>
    <i>
      <x v="97"/>
      <x/>
      <x v="1"/>
      <x v="11"/>
      <x/>
      <x v="11"/>
      <x v="1"/>
      <x v="7"/>
      <x/>
      <x v="84"/>
      <x v="25"/>
    </i>
    <i>
      <x v="98"/>
      <x/>
      <x v="1"/>
      <x v="11"/>
      <x v="2"/>
      <x v="1"/>
      <x v="1"/>
      <x v="8"/>
      <x/>
      <x v="8"/>
      <x v="18"/>
    </i>
    <i>
      <x v="99"/>
      <x/>
      <x v="1"/>
      <x v="9"/>
      <x v="2"/>
      <x v="14"/>
      <x v="2"/>
      <x v="7"/>
      <x/>
      <x v="138"/>
      <x v="26"/>
    </i>
    <i>
      <x v="100"/>
      <x v="3"/>
      <x/>
      <x v="22"/>
      <x v="2"/>
      <x v="11"/>
      <x v="1"/>
      <x/>
      <x v="1"/>
      <x v="61"/>
      <x v="9"/>
    </i>
    <i>
      <x v="101"/>
      <x/>
      <x v="1"/>
      <x v="15"/>
      <x v="1"/>
      <x v="3"/>
      <x v="1"/>
      <x v="8"/>
      <x v="1"/>
      <x v="144"/>
      <x v="24"/>
    </i>
    <i>
      <x v="102"/>
      <x/>
      <x v="1"/>
      <x v="9"/>
      <x v="1"/>
      <x v="3"/>
      <x v="1"/>
      <x v="7"/>
      <x/>
      <x v="48"/>
      <x v="26"/>
    </i>
    <i>
      <x v="103"/>
      <x/>
      <x v="1"/>
      <x v="6"/>
      <x v="1"/>
      <x v="3"/>
      <x v="1"/>
      <x v="8"/>
      <x/>
      <x v="92"/>
      <x v="24"/>
    </i>
    <i>
      <x v="104"/>
      <x/>
      <x v="1"/>
      <x v="7"/>
      <x v="2"/>
      <x v="1"/>
      <x v="1"/>
      <x v="7"/>
      <x/>
      <x v="45"/>
      <x v="26"/>
    </i>
    <i>
      <x v="105"/>
      <x/>
      <x v="1"/>
      <x v="9"/>
      <x v="2"/>
      <x v="7"/>
      <x v="1"/>
      <x v="7"/>
      <x/>
      <x v="80"/>
      <x v="26"/>
    </i>
    <i>
      <x v="106"/>
      <x/>
      <x v="1"/>
      <x v="8"/>
      <x/>
      <x v="3"/>
      <x v="2"/>
      <x v="7"/>
      <x/>
      <x v="142"/>
      <x v="25"/>
    </i>
    <i>
      <x v="107"/>
      <x/>
      <x v="1"/>
      <x v="2"/>
      <x v="1"/>
      <x v="3"/>
      <x v="1"/>
      <x v="7"/>
      <x/>
      <x v="74"/>
      <x v="26"/>
    </i>
    <i>
      <x v="108"/>
      <x/>
      <x v="1"/>
      <x v="25"/>
      <x/>
      <x v="1"/>
      <x v="1"/>
      <x v="7"/>
      <x/>
      <x v="108"/>
      <x v="26"/>
    </i>
    <i>
      <x v="109"/>
      <x/>
      <x v="1"/>
      <x v="1"/>
      <x v="1"/>
      <x v="3"/>
      <x v="2"/>
      <x v="8"/>
      <x/>
      <x v="95"/>
      <x v="25"/>
    </i>
    <i>
      <x v="110"/>
      <x v="3"/>
      <x/>
      <x v="3"/>
      <x v="2"/>
      <x v="4"/>
      <x v="2"/>
      <x v="8"/>
      <x v="1"/>
      <x v="145"/>
      <x v="23"/>
    </i>
    <i>
      <x v="111"/>
      <x v="1"/>
      <x v="1"/>
      <x v="11"/>
      <x v="2"/>
      <x v="14"/>
      <x v="1"/>
      <x v="8"/>
      <x v="1"/>
      <x v="98"/>
      <x v="24"/>
    </i>
    <i>
      <x v="112"/>
      <x/>
      <x v="1"/>
      <x v="24"/>
      <x/>
      <x v="11"/>
      <x v="1"/>
      <x v="4"/>
      <x/>
      <x v="111"/>
      <x v="21"/>
    </i>
    <i>
      <x v="113"/>
      <x/>
      <x v="1"/>
      <x v="2"/>
      <x/>
      <x v="11"/>
      <x v="2"/>
      <x v="7"/>
      <x/>
      <x v="81"/>
      <x v="26"/>
    </i>
    <i>
      <x v="114"/>
      <x v="1"/>
      <x v="1"/>
      <x v="6"/>
      <x/>
      <x v="11"/>
      <x v="2"/>
      <x v="4"/>
      <x/>
      <x v="125"/>
      <x v="25"/>
    </i>
    <i>
      <x v="115"/>
      <x/>
      <x v="1"/>
      <x v="11"/>
      <x/>
      <x v="11"/>
      <x v="1"/>
      <x v="7"/>
      <x/>
      <x v="69"/>
      <x v="26"/>
    </i>
    <i>
      <x v="116"/>
      <x v="2"/>
      <x/>
      <x v="10"/>
      <x/>
      <x v="16"/>
      <x v="1"/>
      <x v="8"/>
      <x/>
      <x v="13"/>
      <x v="20"/>
    </i>
    <i>
      <x v="117"/>
      <x/>
      <x v="1"/>
      <x v="7"/>
      <x v="2"/>
      <x v="4"/>
      <x v="1"/>
      <x v="7"/>
      <x/>
      <x v="63"/>
      <x v="25"/>
    </i>
    <i>
      <x v="118"/>
      <x/>
      <x v="1"/>
      <x v="3"/>
      <x v="2"/>
      <x v="1"/>
      <x v="2"/>
      <x v="7"/>
      <x/>
      <x v="77"/>
      <x v="26"/>
    </i>
    <i>
      <x v="119"/>
      <x/>
      <x v="1"/>
      <x v="6"/>
      <x v="2"/>
      <x v="14"/>
      <x v="1"/>
      <x v="4"/>
      <x/>
      <x v="105"/>
      <x v="26"/>
    </i>
    <i>
      <x v="120"/>
      <x/>
      <x/>
      <x v="11"/>
      <x v="2"/>
      <x v="8"/>
      <x v="1"/>
      <x v="8"/>
      <x/>
      <x v="147"/>
      <x v="18"/>
    </i>
    <i>
      <x v="121"/>
      <x v="1"/>
      <x v="1"/>
      <x v="21"/>
      <x v="2"/>
      <x v="4"/>
      <x v="1"/>
      <x v="7"/>
      <x v="1"/>
      <x v="120"/>
      <x v="22"/>
    </i>
    <i>
      <x v="122"/>
      <x v="2"/>
      <x/>
      <x v="13"/>
      <x v="2"/>
      <x v="1"/>
      <x v="1"/>
      <x v="8"/>
      <x/>
      <x v="19"/>
      <x v="17"/>
    </i>
    <i>
      <x v="123"/>
      <x/>
      <x v="1"/>
      <x v="15"/>
      <x v="2"/>
      <x v="1"/>
      <x v="1"/>
      <x v="7"/>
      <x/>
      <x v="121"/>
      <x v="26"/>
    </i>
    <i>
      <x v="124"/>
      <x/>
      <x v="1"/>
      <x v="12"/>
      <x v="1"/>
      <x v="3"/>
      <x v="1"/>
      <x v="1"/>
      <x/>
      <x v="85"/>
      <x v="17"/>
    </i>
    <i>
      <x v="125"/>
      <x v="3"/>
      <x/>
      <x v="10"/>
      <x v="2"/>
      <x v="3"/>
      <x v="2"/>
      <x v="7"/>
      <x/>
      <x v="71"/>
      <x v="26"/>
    </i>
    <i>
      <x v="126"/>
      <x v="3"/>
      <x/>
      <x v="11"/>
      <x/>
      <x v="3"/>
      <x v="2"/>
      <x v="8"/>
      <x/>
      <x v="93"/>
      <x v="25"/>
    </i>
    <i>
      <x v="127"/>
      <x v="3"/>
      <x/>
      <x v="9"/>
      <x v="1"/>
      <x v="3"/>
      <x v="1"/>
      <x v="6"/>
      <x/>
      <x v="76"/>
      <x v="24"/>
    </i>
    <i>
      <x v="128"/>
      <x v="3"/>
      <x/>
      <x v="7"/>
      <x v="1"/>
      <x v="3"/>
      <x v="1"/>
      <x v="8"/>
      <x/>
      <x v="126"/>
      <x v="24"/>
    </i>
    <i>
      <x v="129"/>
      <x v="2"/>
      <x/>
      <x v="7"/>
      <x v="1"/>
      <x v="3"/>
      <x v="1"/>
      <x v="1"/>
      <x/>
      <x v="114"/>
      <x v="23"/>
    </i>
    <i>
      <x v="130"/>
      <x/>
      <x v="1"/>
      <x v="10"/>
      <x/>
      <x v="11"/>
      <x v="2"/>
      <x v="7"/>
      <x/>
      <x v="83"/>
      <x v="26"/>
    </i>
    <i>
      <x v="131"/>
      <x v="3"/>
      <x/>
      <x v="2"/>
      <x v="2"/>
      <x v="4"/>
      <x v="2"/>
      <x v="6"/>
      <x/>
      <x v="62"/>
      <x v="25"/>
    </i>
    <i>
      <x v="132"/>
      <x/>
      <x v="1"/>
      <x v="10"/>
      <x v="1"/>
      <x v="3"/>
      <x v="1"/>
      <x v="8"/>
      <x/>
      <x v="30"/>
      <x v="19"/>
    </i>
    <i>
      <x v="133"/>
      <x/>
      <x v="1"/>
      <x v="2"/>
      <x v="1"/>
      <x v="3"/>
      <x v="2"/>
      <x v="7"/>
      <x/>
      <x v="50"/>
      <x v="26"/>
    </i>
    <i>
      <x v="134"/>
      <x v="3"/>
      <x/>
      <x v="11"/>
      <x v="1"/>
      <x v="3"/>
      <x v="2"/>
      <x v="6"/>
      <x/>
      <x v="132"/>
      <x v="24"/>
    </i>
    <i>
      <x v="135"/>
      <x/>
      <x v="1"/>
      <x v="17"/>
      <x v="1"/>
      <x v="3"/>
      <x v="1"/>
      <x v="1"/>
      <x/>
      <x v="89"/>
      <x v="11"/>
    </i>
    <i>
      <x v="136"/>
      <x/>
      <x v="1"/>
      <x v="1"/>
      <x v="2"/>
      <x v="13"/>
      <x v="2"/>
      <x v="7"/>
      <x/>
      <x v="139"/>
      <x v="23"/>
    </i>
    <i>
      <x v="137"/>
      <x v="3"/>
      <x/>
      <x v="15"/>
      <x v="2"/>
      <x v="1"/>
      <x v="1"/>
      <x v="8"/>
      <x/>
      <x v="25"/>
      <x v="17"/>
    </i>
    <i>
      <x v="138"/>
      <x v="3"/>
      <x/>
      <x v="3"/>
      <x v="2"/>
      <x v="15"/>
      <x v="1"/>
      <x v="2"/>
      <x/>
      <x v="117"/>
      <x v="26"/>
    </i>
    <i>
      <x v="139"/>
      <x/>
      <x v="1"/>
      <x v="3"/>
      <x v="2"/>
      <x v="12"/>
      <x v="2"/>
      <x v="8"/>
      <x/>
      <x v="34"/>
      <x v="24"/>
    </i>
    <i>
      <x v="140"/>
      <x/>
      <x v="1"/>
      <x v="14"/>
      <x/>
      <x v="11"/>
      <x v="2"/>
      <x v="4"/>
      <x/>
      <x v="67"/>
      <x v="22"/>
    </i>
    <i>
      <x v="141"/>
      <x/>
      <x v="1"/>
      <x v="4"/>
      <x v="1"/>
      <x v="3"/>
      <x v="2"/>
      <x/>
      <x/>
      <x v="87"/>
      <x v="23"/>
    </i>
    <i>
      <x v="142"/>
      <x/>
      <x v="1"/>
      <x v="24"/>
      <x v="1"/>
      <x v="3"/>
      <x v="1"/>
      <x v="7"/>
      <x/>
      <x v="52"/>
      <x v="23"/>
    </i>
    <i>
      <x v="143"/>
      <x/>
      <x v="1"/>
      <x v="2"/>
      <x v="2"/>
      <x v="1"/>
      <x v="2"/>
      <x v="7"/>
      <x/>
      <x v="68"/>
      <x v="26"/>
    </i>
    <i>
      <x v="144"/>
      <x/>
      <x v="1"/>
      <x v="12"/>
      <x v="2"/>
      <x v="9"/>
      <x v="1"/>
      <x v="8"/>
      <x/>
      <x v="38"/>
      <x v="24"/>
    </i>
    <i>
      <x v="145"/>
      <x v="3"/>
      <x/>
      <x v="15"/>
      <x v="2"/>
      <x v="4"/>
      <x v="1"/>
      <x v="8"/>
      <x/>
      <x v="22"/>
      <x v="16"/>
    </i>
    <i>
      <x v="146"/>
      <x v="1"/>
      <x v="1"/>
      <x v="4"/>
      <x v="2"/>
      <x v="13"/>
      <x v="1"/>
      <x v="7"/>
      <x/>
      <x v="42"/>
      <x v="26"/>
    </i>
    <i>
      <x v="147"/>
      <x/>
      <x v="1"/>
      <x v="16"/>
      <x v="2"/>
      <x v="4"/>
      <x v="1"/>
      <x v="1"/>
      <x v="1"/>
      <x v="134"/>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ionality1" xr10:uid="{002960B3-7139-4ABC-9568-09A533183484}" sourceName="Nationality">
  <pivotTables>
    <pivotTable tabId="7" name="PivotTable11"/>
    <pivotTable tabId="7" name="PivotTable1"/>
    <pivotTable tabId="7" name="PivotTable10"/>
    <pivotTable tabId="7" name="PivotTable12"/>
    <pivotTable tabId="7" name="PivotTable13"/>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tabular pivotCacheId="514530599">
      <items count="18">
        <i x="11" s="1"/>
        <i x="2" s="1"/>
        <i x="13" s="1"/>
        <i x="0" s="1"/>
        <i x="4" s="1"/>
        <i x="10" s="1"/>
        <i x="8" s="1"/>
        <i x="14" s="1"/>
        <i x="5" s="1"/>
        <i x="12" s="1"/>
        <i x="1" s="1"/>
        <i x="3" s="1"/>
        <i x="7" s="1"/>
        <i x="9" s="1"/>
        <i x="15" s="1"/>
        <i x="17" s="1"/>
        <i x="6" s="1"/>
        <i x="1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D3FE0E3B-7383-42DC-B1A8-4362A02806B6}" sourceName="Location">
  <pivotTables>
    <pivotTable tabId="7" name="PivotTable11"/>
    <pivotTable tabId="7" name="PivotTable1"/>
    <pivotTable tabId="7" name="PivotTable10"/>
    <pivotTable tabId="7" name="PivotTable12"/>
    <pivotTable tabId="7" name="PivotTable13"/>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tabular pivotCacheId="514530599">
      <items count="14">
        <i x="0" s="1"/>
        <i x="7" s="1"/>
        <i x="1" s="1"/>
        <i x="2" s="1"/>
        <i x="3" s="1"/>
        <i x="11" s="1"/>
        <i x="6" s="1"/>
        <i x="4" s="1"/>
        <i x="5" s="1"/>
        <i x="8" s="1"/>
        <i x="10" s="1"/>
        <i x="12" s="1"/>
        <i x="13" s="1"/>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AD4F940A-A3AD-4364-8BE8-96F7AE419A91}" sourceName="Years">
  <pivotTables>
    <pivotTable tabId="7" name="PivotTable11"/>
    <pivotTable tabId="7" name="PivotTable1"/>
    <pivotTable tabId="7" name="PivotTable10"/>
    <pivotTable tabId="7" name="PivotTable12"/>
    <pivotTable tabId="7" name="PivotTable13"/>
    <pivotTable tabId="7" name="PivotTable2"/>
    <pivotTable tabId="7" name="PivotTable3"/>
    <pivotTable tabId="7" name="PivotTable4"/>
    <pivotTable tabId="7" name="PivotTable5"/>
    <pivotTable tabId="7" name="PivotTable6"/>
    <pivotTable tabId="7" name="PivotTable7"/>
    <pivotTable tabId="7" name="PivotTable8"/>
    <pivotTable tabId="7" name="PivotTable9"/>
  </pivotTables>
  <data>
    <tabular pivotCacheId="514530599">
      <items count="29">
        <i x="1" s="1"/>
        <i x="7" s="1"/>
        <i x="9" s="1"/>
        <i x="11" s="1"/>
        <i x="12" s="1"/>
        <i x="14" s="1"/>
        <i x="15" s="1"/>
        <i x="16" s="1"/>
        <i x="17" s="1"/>
        <i x="18" s="1"/>
        <i x="19" s="1"/>
        <i x="20" s="1"/>
        <i x="21" s="1"/>
        <i x="22" s="1"/>
        <i x="23" s="1"/>
        <i x="24" s="1"/>
        <i x="25" s="1"/>
        <i x="26" s="1"/>
        <i x="27" s="1"/>
        <i x="0" s="1" nd="1"/>
        <i x="28" s="1" nd="1"/>
        <i x="2" s="1" nd="1"/>
        <i x="3" s="1" nd="1"/>
        <i x="4" s="1" nd="1"/>
        <i x="5" s="1" nd="1"/>
        <i x="6" s="1" nd="1"/>
        <i x="8" s="1" nd="1"/>
        <i x="1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tionality" xr10:uid="{C17FFE71-9A70-4A04-B374-A569DBB96304}" cache="Slicer_Nationality1" caption="Nationality" columnCount="2" style="Slicer" rowHeight="241300"/>
  <slicer name="Location" xr10:uid="{19ADF4DC-6CC4-427C-B290-C28D79402B12}" cache="Slicer_Location1" caption="Location" columnCount="2" style="Slicer" rowHeight="241300"/>
  <slicer name="Years" xr10:uid="{91C77056-BBED-416C-9498-B002EFC7D41A}" cache="Slicer_Years1" caption="Years" columnCount="3" style="Slicer" rowHeight="24130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hyperlink" Target="mailto:Hadija.KamalT@Rare.com" TargetMode="External"/><Relationship Id="rId2" Type="http://schemas.openxmlformats.org/officeDocument/2006/relationships/hyperlink" Target="mailto:Salisu.MuhammedBala@Rare.com" TargetMode="External"/><Relationship Id="rId1" Type="http://schemas.openxmlformats.org/officeDocument/2006/relationships/hyperlink" Target="mailto:Femi.AdeKabil@Rare.com" TargetMode="External"/><Relationship Id="rId6" Type="http://schemas.openxmlformats.org/officeDocument/2006/relationships/hyperlink" Target="mailto:JenetOlawole.Titilomo@Rare.com" TargetMode="External"/><Relationship Id="rId5" Type="http://schemas.openxmlformats.org/officeDocument/2006/relationships/hyperlink" Target="mailto:IsmailOmeiza.Mumin@Rare.com" TargetMode="External"/><Relationship Id="rId4" Type="http://schemas.openxmlformats.org/officeDocument/2006/relationships/hyperlink" Target="mailto:Matthew.SamPraise@Rar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35A7A-AA5E-4020-BF9F-342B34C09928}">
  <sheetPr codeName="Sheet1"/>
  <dimension ref="A1:Z93"/>
  <sheetViews>
    <sheetView showGridLines="0" tabSelected="1" zoomScale="70" zoomScaleNormal="70" workbookViewId="0">
      <selection activeCell="H4" sqref="H4"/>
    </sheetView>
  </sheetViews>
  <sheetFormatPr defaultRowHeight="14.5" x14ac:dyDescent="0.35"/>
  <cols>
    <col min="7" max="7" width="11.08984375" customWidth="1"/>
    <col min="8" max="8" width="58" customWidth="1"/>
    <col min="9" max="9" width="8.7265625" customWidth="1"/>
    <col min="10" max="10" width="7.26953125" customWidth="1"/>
    <col min="20" max="20" width="9.08984375" customWidth="1"/>
  </cols>
  <sheetData>
    <row r="1" spans="1:26" ht="18.5" customHeight="1" x14ac:dyDescent="0.35">
      <c r="A1" s="2"/>
      <c r="B1" s="2"/>
      <c r="C1" s="2"/>
      <c r="D1" s="2"/>
      <c r="E1" s="2"/>
      <c r="F1" s="2"/>
      <c r="G1" s="2"/>
      <c r="H1" s="2"/>
      <c r="I1" s="2"/>
      <c r="J1" s="2"/>
      <c r="K1" s="2"/>
      <c r="L1" s="2"/>
      <c r="M1" s="2"/>
      <c r="N1" s="2"/>
      <c r="O1" s="2"/>
      <c r="P1" s="2"/>
      <c r="Q1" s="2"/>
      <c r="R1" s="2"/>
      <c r="S1" s="2"/>
      <c r="T1" s="2"/>
      <c r="U1" s="2"/>
      <c r="V1" s="2"/>
      <c r="W1" s="2"/>
      <c r="X1" s="2"/>
      <c r="Y1" s="2"/>
      <c r="Z1" s="2"/>
    </row>
    <row r="2" spans="1:26" x14ac:dyDescent="0.35">
      <c r="A2" s="2"/>
      <c r="B2" s="2"/>
      <c r="C2" s="2"/>
      <c r="D2" s="2"/>
      <c r="E2" s="2"/>
      <c r="F2" s="2"/>
      <c r="G2" s="2"/>
      <c r="H2" s="2"/>
      <c r="I2" s="2"/>
      <c r="J2" s="2"/>
      <c r="K2" s="2"/>
      <c r="L2" s="2"/>
      <c r="M2" s="2"/>
      <c r="N2" s="2"/>
      <c r="O2" s="2"/>
      <c r="P2" s="2"/>
      <c r="Q2" s="2"/>
      <c r="R2" s="2"/>
      <c r="S2" s="2"/>
      <c r="T2" s="2"/>
      <c r="U2" s="2"/>
      <c r="V2" s="2"/>
      <c r="W2" s="2"/>
      <c r="X2" s="2"/>
      <c r="Y2" s="2"/>
      <c r="Z2" s="2"/>
    </row>
    <row r="3" spans="1:26" ht="9.5" customHeight="1" x14ac:dyDescent="0.35">
      <c r="A3" s="4"/>
      <c r="B3" s="4"/>
      <c r="C3" s="4"/>
      <c r="D3" s="3"/>
      <c r="E3" s="3"/>
      <c r="F3" s="3"/>
      <c r="G3" s="3"/>
      <c r="H3" s="3"/>
      <c r="I3" s="3"/>
      <c r="J3" s="3"/>
      <c r="K3" s="3"/>
      <c r="L3" s="3"/>
      <c r="M3" s="3"/>
      <c r="N3" s="3"/>
      <c r="O3" s="3"/>
      <c r="P3" s="3"/>
      <c r="Q3" s="3"/>
      <c r="R3" s="3"/>
      <c r="S3" s="3"/>
      <c r="T3" s="3"/>
      <c r="U3" s="3"/>
      <c r="V3" s="3"/>
      <c r="W3" s="3"/>
      <c r="X3" s="3"/>
      <c r="Y3" s="3"/>
      <c r="Z3" s="3"/>
    </row>
    <row r="4" spans="1:26" ht="25" customHeight="1" x14ac:dyDescent="0.35">
      <c r="A4" s="4"/>
      <c r="B4" s="4"/>
      <c r="C4" s="4"/>
      <c r="D4" s="3"/>
      <c r="E4" s="3"/>
      <c r="F4" s="3"/>
      <c r="G4" s="3"/>
      <c r="H4" s="14"/>
      <c r="I4" s="3"/>
      <c r="J4" s="3"/>
      <c r="K4" s="3"/>
      <c r="L4" s="3"/>
      <c r="M4" s="3"/>
      <c r="N4" s="3"/>
      <c r="O4" s="3"/>
      <c r="P4" s="3"/>
      <c r="Q4" s="3"/>
      <c r="R4" s="3"/>
      <c r="S4" s="3"/>
      <c r="T4" s="3"/>
      <c r="U4" s="3"/>
      <c r="V4" s="3"/>
      <c r="W4" s="3"/>
      <c r="X4" s="3"/>
      <c r="Y4" s="3"/>
      <c r="Z4" s="3"/>
    </row>
    <row r="5" spans="1:26" x14ac:dyDescent="0.35">
      <c r="A5" s="4"/>
      <c r="B5" s="4"/>
      <c r="C5" s="4"/>
      <c r="D5" s="3"/>
      <c r="E5" s="3"/>
      <c r="F5" s="3"/>
      <c r="G5" s="3"/>
      <c r="H5" s="3"/>
      <c r="I5" s="3"/>
      <c r="J5" s="3"/>
      <c r="K5" s="3"/>
      <c r="L5" s="3"/>
      <c r="M5" s="3"/>
      <c r="N5" s="3"/>
      <c r="O5" s="3"/>
      <c r="P5" s="3"/>
      <c r="Q5" s="3"/>
      <c r="R5" s="3"/>
      <c r="S5" s="3"/>
      <c r="T5" s="3"/>
      <c r="U5" s="3"/>
      <c r="V5" s="3"/>
      <c r="W5" s="3"/>
      <c r="X5" s="3"/>
      <c r="Y5" s="3"/>
      <c r="Z5" s="3"/>
    </row>
    <row r="6" spans="1:26" x14ac:dyDescent="0.35">
      <c r="A6" s="4"/>
      <c r="B6" s="4"/>
      <c r="C6" s="4"/>
      <c r="D6" s="3"/>
      <c r="E6" s="3"/>
      <c r="F6" s="3"/>
      <c r="G6" s="3"/>
      <c r="H6" s="3"/>
      <c r="I6" s="3"/>
      <c r="J6" s="3"/>
      <c r="K6" s="3"/>
      <c r="L6" s="3"/>
      <c r="M6" s="3"/>
      <c r="N6" s="3"/>
      <c r="O6" s="3"/>
      <c r="P6" s="3"/>
      <c r="Q6" s="3"/>
      <c r="R6" s="3"/>
      <c r="S6" s="3"/>
      <c r="T6" s="3"/>
      <c r="U6" s="3"/>
      <c r="V6" s="3"/>
      <c r="W6" s="3"/>
      <c r="X6" s="3"/>
      <c r="Y6" s="3"/>
      <c r="Z6" s="3"/>
    </row>
    <row r="7" spans="1:26" x14ac:dyDescent="0.35">
      <c r="A7" s="4"/>
      <c r="B7" s="4"/>
      <c r="C7" s="4"/>
      <c r="D7" s="3"/>
      <c r="E7" s="3"/>
      <c r="F7" s="3"/>
      <c r="G7" s="3"/>
      <c r="H7" s="3"/>
      <c r="I7" s="3"/>
      <c r="J7" s="3"/>
      <c r="K7" s="3"/>
      <c r="L7" s="3"/>
      <c r="M7" s="3"/>
      <c r="N7" s="3"/>
      <c r="O7" s="3"/>
      <c r="P7" s="3"/>
      <c r="Q7" s="3"/>
      <c r="R7" s="3"/>
      <c r="S7" s="3"/>
      <c r="T7" s="3"/>
      <c r="U7" s="3"/>
      <c r="V7" s="3"/>
      <c r="W7" s="3"/>
      <c r="X7" s="3"/>
      <c r="Y7" s="3"/>
      <c r="Z7" s="3"/>
    </row>
    <row r="8" spans="1:26" x14ac:dyDescent="0.35">
      <c r="A8" s="4"/>
      <c r="B8" s="4"/>
      <c r="C8" s="4"/>
      <c r="D8" s="3"/>
      <c r="E8" s="3"/>
      <c r="F8" s="3"/>
      <c r="G8" s="3"/>
      <c r="H8" s="3"/>
      <c r="I8" s="3"/>
      <c r="J8" s="3"/>
      <c r="K8" s="3"/>
      <c r="L8" s="3"/>
      <c r="M8" s="3"/>
      <c r="N8" s="3"/>
      <c r="O8" s="3"/>
      <c r="P8" s="3"/>
      <c r="Q8" s="3"/>
      <c r="R8" s="3"/>
      <c r="S8" s="3"/>
      <c r="T8" s="3"/>
      <c r="U8" s="3"/>
      <c r="V8" s="3"/>
      <c r="W8" s="3"/>
      <c r="X8" s="3"/>
      <c r="Y8" s="3"/>
      <c r="Z8" s="3"/>
    </row>
    <row r="9" spans="1:26" x14ac:dyDescent="0.35">
      <c r="A9" s="4"/>
      <c r="B9" s="4"/>
      <c r="C9" s="4"/>
      <c r="D9" s="3"/>
      <c r="E9" s="3"/>
      <c r="F9" s="3"/>
      <c r="G9" s="3"/>
      <c r="H9" s="3"/>
      <c r="I9" s="3"/>
      <c r="J9" s="3"/>
      <c r="K9" s="3"/>
      <c r="L9" s="3"/>
      <c r="M9" s="3"/>
      <c r="N9" s="3"/>
      <c r="O9" s="3"/>
      <c r="P9" s="3"/>
      <c r="Q9" s="3"/>
      <c r="R9" s="3"/>
      <c r="S9" s="3"/>
      <c r="T9" s="3"/>
      <c r="U9" s="3"/>
      <c r="V9" s="3"/>
      <c r="W9" s="3"/>
      <c r="X9" s="3"/>
      <c r="Y9" s="3"/>
      <c r="Z9" s="3"/>
    </row>
    <row r="10" spans="1:26" x14ac:dyDescent="0.35">
      <c r="A10" s="4"/>
      <c r="B10" s="4"/>
      <c r="C10" s="4"/>
      <c r="D10" s="3"/>
      <c r="E10" s="3"/>
      <c r="F10" s="3"/>
      <c r="G10" s="3"/>
      <c r="H10" s="3"/>
      <c r="I10" s="3"/>
      <c r="J10" s="3"/>
      <c r="K10" s="3"/>
      <c r="L10" s="3"/>
      <c r="M10" s="3"/>
      <c r="N10" s="3"/>
      <c r="O10" s="3"/>
      <c r="P10" s="3"/>
      <c r="Q10" s="3"/>
      <c r="R10" s="3"/>
      <c r="S10" s="3"/>
      <c r="T10" s="3"/>
      <c r="U10" s="3"/>
      <c r="V10" s="3"/>
      <c r="W10" s="3"/>
      <c r="X10" s="3"/>
      <c r="Y10" s="3"/>
      <c r="Z10" s="3"/>
    </row>
    <row r="11" spans="1:26" x14ac:dyDescent="0.35">
      <c r="A11" s="4"/>
      <c r="B11" s="4"/>
      <c r="C11" s="4"/>
      <c r="D11" s="3"/>
      <c r="E11" s="3"/>
      <c r="F11" s="3"/>
      <c r="G11" s="3"/>
      <c r="H11" s="3"/>
      <c r="I11" s="3"/>
      <c r="J11" s="3"/>
      <c r="K11" s="3"/>
      <c r="L11" s="3"/>
      <c r="M11" s="3"/>
      <c r="N11" s="3"/>
      <c r="O11" s="3"/>
      <c r="P11" s="3"/>
      <c r="Q11" s="3"/>
      <c r="R11" s="3"/>
      <c r="S11" s="3"/>
      <c r="T11" s="3"/>
      <c r="U11" s="3"/>
      <c r="V11" s="3"/>
      <c r="W11" s="3"/>
      <c r="X11" s="3"/>
      <c r="Y11" s="3"/>
      <c r="Z11" s="3"/>
    </row>
    <row r="12" spans="1:26" x14ac:dyDescent="0.35">
      <c r="A12" s="4"/>
      <c r="B12" s="4"/>
      <c r="C12" s="4"/>
      <c r="D12" s="3"/>
      <c r="E12" s="3"/>
      <c r="F12" s="3"/>
      <c r="G12" s="3"/>
      <c r="H12" s="3"/>
      <c r="I12" s="3"/>
      <c r="J12" s="3"/>
      <c r="K12" s="3"/>
      <c r="L12" s="3"/>
      <c r="M12" s="3"/>
      <c r="N12" s="3"/>
      <c r="O12" s="3"/>
      <c r="P12" s="3"/>
      <c r="Q12" s="3"/>
      <c r="R12" s="3"/>
      <c r="S12" s="3"/>
      <c r="T12" s="3"/>
      <c r="U12" s="3"/>
      <c r="V12" s="3"/>
      <c r="W12" s="3"/>
      <c r="X12" s="3"/>
      <c r="Y12" s="3"/>
      <c r="Z12" s="3"/>
    </row>
    <row r="13" spans="1:26" x14ac:dyDescent="0.35">
      <c r="A13" s="4"/>
      <c r="B13" s="4"/>
      <c r="C13" s="4"/>
      <c r="D13" s="3"/>
      <c r="E13" s="3"/>
      <c r="F13" s="3"/>
      <c r="G13" s="3"/>
      <c r="H13" s="3"/>
      <c r="I13" s="3"/>
      <c r="J13" s="3"/>
      <c r="K13" s="3"/>
      <c r="L13" s="3"/>
      <c r="M13" s="3"/>
      <c r="N13" s="3"/>
      <c r="O13" s="3"/>
      <c r="P13" s="3"/>
      <c r="Q13" s="3"/>
      <c r="R13" s="3"/>
      <c r="S13" s="3"/>
      <c r="T13" s="3"/>
      <c r="U13" s="3"/>
      <c r="V13" s="3"/>
      <c r="W13" s="3"/>
      <c r="X13" s="3"/>
      <c r="Y13" s="3"/>
      <c r="Z13" s="3"/>
    </row>
    <row r="14" spans="1:26" x14ac:dyDescent="0.35">
      <c r="A14" s="4"/>
      <c r="B14" s="4"/>
      <c r="C14" s="4"/>
      <c r="D14" s="3"/>
      <c r="E14" s="3"/>
      <c r="F14" s="3"/>
      <c r="G14" s="3"/>
      <c r="H14" s="3"/>
      <c r="I14" s="3"/>
      <c r="J14" s="3"/>
      <c r="K14" s="3"/>
      <c r="L14" s="3"/>
      <c r="M14" s="3"/>
      <c r="N14" s="3"/>
      <c r="O14" s="3"/>
      <c r="P14" s="3"/>
      <c r="Q14" s="3"/>
      <c r="R14" s="3"/>
      <c r="S14" s="3"/>
      <c r="T14" s="3"/>
      <c r="U14" s="3"/>
      <c r="V14" s="3"/>
      <c r="W14" s="3"/>
      <c r="X14" s="3"/>
      <c r="Y14" s="3"/>
      <c r="Z14" s="3"/>
    </row>
    <row r="15" spans="1:26" x14ac:dyDescent="0.35">
      <c r="A15" s="4"/>
      <c r="B15" s="4"/>
      <c r="C15" s="4"/>
      <c r="D15" s="3"/>
      <c r="E15" s="3"/>
      <c r="F15" s="3"/>
      <c r="G15" s="3"/>
      <c r="H15" s="3"/>
      <c r="I15" s="3"/>
      <c r="J15" s="3"/>
      <c r="K15" s="3"/>
      <c r="L15" s="3"/>
      <c r="M15" s="3"/>
      <c r="N15" s="3"/>
      <c r="O15" s="3"/>
      <c r="P15" s="3"/>
      <c r="Q15" s="3"/>
      <c r="R15" s="3"/>
      <c r="S15" s="3"/>
      <c r="T15" s="3"/>
      <c r="U15" s="3"/>
      <c r="V15" s="3"/>
      <c r="W15" s="3"/>
      <c r="X15" s="3"/>
      <c r="Y15" s="3"/>
      <c r="Z15" s="3"/>
    </row>
    <row r="16" spans="1:26" x14ac:dyDescent="0.35">
      <c r="A16" s="4"/>
      <c r="B16" s="4"/>
      <c r="C16" s="4"/>
      <c r="D16" s="3"/>
      <c r="E16" s="3"/>
      <c r="F16" s="3"/>
      <c r="G16" s="3"/>
      <c r="H16" s="3"/>
      <c r="I16" s="3"/>
      <c r="J16" s="3"/>
      <c r="K16" s="3"/>
      <c r="L16" s="3"/>
      <c r="M16" s="3"/>
      <c r="N16" s="3"/>
      <c r="O16" s="3"/>
      <c r="P16" s="3"/>
      <c r="Q16" s="3"/>
      <c r="R16" s="3"/>
      <c r="S16" s="3"/>
      <c r="T16" s="3"/>
      <c r="U16" s="3"/>
      <c r="V16" s="3"/>
      <c r="W16" s="3"/>
      <c r="X16" s="3"/>
      <c r="Y16" s="3"/>
      <c r="Z16" s="3"/>
    </row>
    <row r="17" spans="1:26" x14ac:dyDescent="0.35">
      <c r="A17" s="4"/>
      <c r="B17" s="4"/>
      <c r="C17" s="4"/>
      <c r="D17" s="3"/>
      <c r="E17" s="3"/>
      <c r="F17" s="3"/>
      <c r="G17" s="3"/>
      <c r="H17" s="3"/>
      <c r="I17" s="3"/>
      <c r="J17" s="3"/>
      <c r="K17" s="3"/>
      <c r="L17" s="3"/>
      <c r="M17" s="3"/>
      <c r="N17" s="3"/>
      <c r="O17" s="3"/>
      <c r="P17" s="3"/>
      <c r="Q17" s="3"/>
      <c r="R17" s="3"/>
      <c r="S17" s="3"/>
      <c r="T17" s="3"/>
      <c r="U17" s="3"/>
      <c r="V17" s="3"/>
      <c r="W17" s="3"/>
      <c r="X17" s="3"/>
      <c r="Y17" s="3"/>
      <c r="Z17" s="3"/>
    </row>
    <row r="18" spans="1:26" x14ac:dyDescent="0.35">
      <c r="A18" s="4"/>
      <c r="B18" s="4"/>
      <c r="C18" s="4"/>
      <c r="D18" s="3"/>
      <c r="E18" s="3"/>
      <c r="F18" s="3"/>
      <c r="G18" s="3"/>
      <c r="H18" s="3"/>
      <c r="I18" s="3"/>
      <c r="J18" s="3"/>
      <c r="K18" s="3"/>
      <c r="L18" s="3"/>
      <c r="M18" s="3"/>
      <c r="N18" s="3"/>
      <c r="O18" s="3"/>
      <c r="P18" s="3"/>
      <c r="Q18" s="3"/>
      <c r="R18" s="3"/>
      <c r="S18" s="3"/>
      <c r="T18" s="3"/>
      <c r="U18" s="3"/>
      <c r="V18" s="3"/>
      <c r="W18" s="3"/>
      <c r="X18" s="3"/>
      <c r="Y18" s="3"/>
      <c r="Z18" s="3"/>
    </row>
    <row r="19" spans="1:26" x14ac:dyDescent="0.35">
      <c r="A19" s="4"/>
      <c r="B19" s="4"/>
      <c r="C19" s="4"/>
      <c r="D19" s="3"/>
      <c r="E19" s="3"/>
      <c r="F19" s="3"/>
      <c r="G19" s="3"/>
      <c r="H19" s="3"/>
      <c r="I19" s="3"/>
      <c r="J19" s="3"/>
      <c r="K19" s="3"/>
      <c r="L19" s="3"/>
      <c r="M19" s="3"/>
      <c r="N19" s="3"/>
      <c r="O19" s="3"/>
      <c r="P19" s="3"/>
      <c r="Q19" s="3"/>
      <c r="R19" s="3"/>
      <c r="S19" s="3"/>
      <c r="T19" s="3"/>
      <c r="U19" s="3"/>
      <c r="V19" s="3"/>
      <c r="W19" s="3"/>
      <c r="X19" s="3"/>
      <c r="Y19" s="3"/>
      <c r="Z19" s="3"/>
    </row>
    <row r="20" spans="1:26" x14ac:dyDescent="0.35">
      <c r="A20" s="4"/>
      <c r="B20" s="4"/>
      <c r="C20" s="4"/>
      <c r="D20" s="3"/>
      <c r="E20" s="3"/>
      <c r="F20" s="3"/>
      <c r="G20" s="3"/>
      <c r="H20" s="3"/>
      <c r="I20" s="3"/>
      <c r="J20" s="3"/>
      <c r="K20" s="3"/>
      <c r="L20" s="3"/>
      <c r="M20" s="3"/>
      <c r="N20" s="3"/>
      <c r="O20" s="3"/>
      <c r="P20" s="3"/>
      <c r="Q20" s="3"/>
      <c r="R20" s="3"/>
      <c r="S20" s="3"/>
      <c r="T20" s="3"/>
      <c r="U20" s="3"/>
      <c r="V20" s="3"/>
      <c r="W20" s="3"/>
      <c r="X20" s="3"/>
      <c r="Y20" s="3"/>
      <c r="Z20" s="3"/>
    </row>
    <row r="21" spans="1:26" x14ac:dyDescent="0.35">
      <c r="A21" s="4"/>
      <c r="B21" s="4"/>
      <c r="C21" s="4"/>
      <c r="D21" s="3"/>
      <c r="E21" s="3"/>
      <c r="F21" s="3"/>
      <c r="G21" s="3"/>
      <c r="H21" s="3"/>
      <c r="I21" s="3"/>
      <c r="J21" s="3"/>
      <c r="K21" s="3"/>
      <c r="L21" s="3"/>
      <c r="M21" s="3"/>
      <c r="N21" s="3"/>
      <c r="O21" s="3"/>
      <c r="P21" s="3"/>
      <c r="Q21" s="3"/>
      <c r="R21" s="3"/>
      <c r="S21" s="3"/>
      <c r="T21" s="3"/>
      <c r="U21" s="3"/>
      <c r="V21" s="3"/>
      <c r="W21" s="3"/>
      <c r="X21" s="3"/>
      <c r="Y21" s="3"/>
      <c r="Z21" s="3"/>
    </row>
    <row r="22" spans="1:26" x14ac:dyDescent="0.35">
      <c r="A22" s="4"/>
      <c r="B22" s="4"/>
      <c r="C22" s="4"/>
      <c r="D22" s="3"/>
      <c r="E22" s="3"/>
      <c r="F22" s="3"/>
      <c r="G22" s="3"/>
      <c r="H22" s="3"/>
      <c r="I22" s="3"/>
      <c r="J22" s="3"/>
      <c r="K22" s="3"/>
      <c r="L22" s="3"/>
      <c r="M22" s="3"/>
      <c r="N22" s="3"/>
      <c r="O22" s="3"/>
      <c r="P22" s="3"/>
      <c r="Q22" s="3"/>
      <c r="R22" s="3"/>
      <c r="S22" s="3"/>
      <c r="T22" s="3"/>
      <c r="U22" s="3"/>
      <c r="V22" s="3"/>
      <c r="W22" s="3"/>
      <c r="X22" s="3"/>
      <c r="Y22" s="3"/>
      <c r="Z22" s="3"/>
    </row>
    <row r="23" spans="1:26" x14ac:dyDescent="0.35">
      <c r="A23" s="4"/>
      <c r="B23" s="4"/>
      <c r="C23" s="4"/>
      <c r="D23" s="3"/>
      <c r="E23" s="3"/>
      <c r="F23" s="3"/>
      <c r="G23" s="3"/>
      <c r="H23" s="3"/>
      <c r="I23" s="3"/>
      <c r="J23" s="3"/>
      <c r="K23" s="3"/>
      <c r="L23" s="3"/>
      <c r="M23" s="3"/>
      <c r="N23" s="3"/>
      <c r="O23" s="3"/>
      <c r="P23" s="3"/>
      <c r="Q23" s="3"/>
      <c r="R23" s="3"/>
      <c r="S23" s="3"/>
      <c r="T23" s="3"/>
      <c r="U23" s="3"/>
      <c r="V23" s="3"/>
      <c r="W23" s="3"/>
      <c r="X23" s="3"/>
      <c r="Y23" s="3"/>
      <c r="Z23" s="3"/>
    </row>
    <row r="24" spans="1:26" x14ac:dyDescent="0.35">
      <c r="A24" s="4"/>
      <c r="B24" s="4"/>
      <c r="C24" s="4"/>
      <c r="D24" s="3"/>
      <c r="E24" s="3"/>
      <c r="F24" s="3"/>
      <c r="G24" s="3"/>
      <c r="H24" s="3"/>
      <c r="I24" s="3"/>
      <c r="J24" s="3"/>
      <c r="K24" s="3"/>
      <c r="L24" s="3"/>
      <c r="M24" s="3"/>
      <c r="N24" s="3"/>
      <c r="O24" s="3"/>
      <c r="P24" s="3"/>
      <c r="Q24" s="3"/>
      <c r="R24" s="3"/>
      <c r="S24" s="3"/>
      <c r="T24" s="3"/>
      <c r="U24" s="3"/>
      <c r="V24" s="3"/>
      <c r="W24" s="3"/>
      <c r="X24" s="3"/>
      <c r="Y24" s="3"/>
      <c r="Z24" s="3"/>
    </row>
    <row r="25" spans="1:26" x14ac:dyDescent="0.35">
      <c r="A25" s="4"/>
      <c r="B25" s="4"/>
      <c r="C25" s="4"/>
      <c r="D25" s="3"/>
      <c r="E25" s="3"/>
      <c r="F25" s="3"/>
      <c r="G25" s="3"/>
      <c r="H25" s="3"/>
      <c r="I25" s="3"/>
      <c r="J25" s="3"/>
      <c r="K25" s="3"/>
      <c r="L25" s="3"/>
      <c r="M25" s="3"/>
      <c r="N25" s="3"/>
      <c r="O25" s="3"/>
      <c r="P25" s="3"/>
      <c r="Q25" s="3"/>
      <c r="R25" s="3"/>
      <c r="S25" s="3"/>
      <c r="T25" s="3"/>
      <c r="U25" s="3"/>
      <c r="V25" s="3"/>
      <c r="W25" s="3"/>
      <c r="X25" s="3"/>
      <c r="Y25" s="3"/>
      <c r="Z25" s="3"/>
    </row>
    <row r="26" spans="1:26" x14ac:dyDescent="0.35">
      <c r="A26" s="4"/>
      <c r="B26" s="4"/>
      <c r="C26" s="4"/>
      <c r="D26" s="3"/>
      <c r="E26" s="3"/>
      <c r="F26" s="3"/>
      <c r="G26" s="3"/>
      <c r="H26" s="3"/>
      <c r="I26" s="3"/>
      <c r="J26" s="3"/>
      <c r="K26" s="3"/>
      <c r="L26" s="3"/>
      <c r="M26" s="3"/>
      <c r="N26" s="3"/>
      <c r="O26" s="3"/>
      <c r="P26" s="3"/>
      <c r="Q26" s="3"/>
      <c r="R26" s="3"/>
      <c r="S26" s="3"/>
      <c r="T26" s="3"/>
      <c r="U26" s="3"/>
      <c r="V26" s="3"/>
      <c r="W26" s="3"/>
      <c r="X26" s="3"/>
      <c r="Y26" s="3"/>
      <c r="Z26" s="3"/>
    </row>
    <row r="27" spans="1:26" x14ac:dyDescent="0.35">
      <c r="A27" s="4"/>
      <c r="B27" s="4"/>
      <c r="C27" s="4"/>
      <c r="D27" s="3"/>
      <c r="E27" s="3"/>
      <c r="F27" s="3"/>
      <c r="G27" s="3"/>
      <c r="H27" s="3"/>
      <c r="I27" s="3"/>
      <c r="J27" s="3"/>
      <c r="K27" s="3"/>
      <c r="L27" s="3"/>
      <c r="M27" s="3"/>
      <c r="N27" s="3"/>
      <c r="O27" s="3"/>
      <c r="P27" s="3"/>
      <c r="Q27" s="3"/>
      <c r="R27" s="3"/>
      <c r="S27" s="3"/>
      <c r="T27" s="3"/>
      <c r="U27" s="3"/>
      <c r="V27" s="3"/>
      <c r="W27" s="3"/>
      <c r="X27" s="3"/>
      <c r="Y27" s="3"/>
      <c r="Z27" s="3"/>
    </row>
    <row r="28" spans="1:26" x14ac:dyDescent="0.35">
      <c r="A28" s="4"/>
      <c r="B28" s="4"/>
      <c r="C28" s="4"/>
      <c r="D28" s="3"/>
      <c r="E28" s="3"/>
      <c r="F28" s="3"/>
      <c r="G28" s="3"/>
      <c r="H28" s="3"/>
      <c r="I28" s="3"/>
      <c r="J28" s="3"/>
      <c r="K28" s="3"/>
      <c r="L28" s="3"/>
      <c r="M28" s="3"/>
      <c r="N28" s="3"/>
      <c r="O28" s="3"/>
      <c r="P28" s="3"/>
      <c r="Q28" s="3"/>
      <c r="R28" s="3"/>
      <c r="S28" s="3"/>
      <c r="T28" s="3"/>
      <c r="U28" s="3"/>
      <c r="V28" s="3"/>
      <c r="W28" s="3"/>
      <c r="X28" s="3"/>
      <c r="Y28" s="3"/>
      <c r="Z28" s="3"/>
    </row>
    <row r="29" spans="1:26" x14ac:dyDescent="0.35">
      <c r="A29" s="4"/>
      <c r="B29" s="4"/>
      <c r="C29" s="4"/>
      <c r="D29" s="3"/>
      <c r="E29" s="3"/>
      <c r="F29" s="3"/>
      <c r="G29" s="3"/>
      <c r="H29" s="3"/>
      <c r="I29" s="3"/>
      <c r="J29" s="3"/>
      <c r="K29" s="3"/>
      <c r="L29" s="3"/>
      <c r="M29" s="3"/>
      <c r="N29" s="3"/>
      <c r="O29" s="3"/>
      <c r="P29" s="3"/>
      <c r="Q29" s="3"/>
      <c r="R29" s="3"/>
      <c r="S29" s="3"/>
      <c r="T29" s="3"/>
      <c r="U29" s="3"/>
      <c r="V29" s="3"/>
      <c r="W29" s="3"/>
      <c r="X29" s="3"/>
      <c r="Y29" s="3"/>
      <c r="Z29" s="3"/>
    </row>
    <row r="30" spans="1:26" x14ac:dyDescent="0.35">
      <c r="A30" s="4"/>
      <c r="B30" s="4"/>
      <c r="C30" s="4"/>
      <c r="D30" s="3"/>
      <c r="E30" s="3"/>
      <c r="F30" s="3"/>
      <c r="G30" s="3"/>
      <c r="H30" s="3"/>
      <c r="I30" s="3"/>
      <c r="J30" s="3"/>
      <c r="K30" s="3"/>
      <c r="L30" s="3"/>
      <c r="M30" s="3"/>
      <c r="N30" s="3"/>
      <c r="O30" s="3"/>
      <c r="P30" s="3"/>
      <c r="Q30" s="3"/>
      <c r="R30" s="3"/>
      <c r="S30" s="3"/>
      <c r="T30" s="3"/>
      <c r="U30" s="3"/>
      <c r="V30" s="3"/>
      <c r="W30" s="3"/>
      <c r="X30" s="3"/>
      <c r="Y30" s="3"/>
      <c r="Z30" s="3"/>
    </row>
    <row r="31" spans="1:26" x14ac:dyDescent="0.35">
      <c r="A31" s="4"/>
      <c r="B31" s="4"/>
      <c r="C31" s="4"/>
      <c r="D31" s="3"/>
      <c r="E31" s="3"/>
      <c r="F31" s="3"/>
      <c r="G31" s="3"/>
      <c r="H31" s="3"/>
      <c r="I31" s="3"/>
      <c r="J31" s="3"/>
      <c r="K31" s="3"/>
      <c r="L31" s="3"/>
      <c r="M31" s="3"/>
      <c r="N31" s="3"/>
      <c r="O31" s="3"/>
      <c r="P31" s="3"/>
      <c r="Q31" s="3"/>
      <c r="R31" s="3"/>
      <c r="S31" s="3"/>
      <c r="T31" s="3"/>
      <c r="U31" s="3"/>
      <c r="V31" s="3"/>
      <c r="W31" s="3"/>
      <c r="X31" s="3"/>
      <c r="Y31" s="3"/>
      <c r="Z31" s="3"/>
    </row>
    <row r="32" spans="1:26" x14ac:dyDescent="0.35">
      <c r="A32" s="4"/>
      <c r="B32" s="4"/>
      <c r="C32" s="4"/>
      <c r="D32" s="3"/>
      <c r="E32" s="3"/>
      <c r="F32" s="3"/>
      <c r="G32" s="3"/>
      <c r="H32" s="3"/>
      <c r="I32" s="3"/>
      <c r="J32" s="3"/>
      <c r="K32" s="3"/>
      <c r="L32" s="3"/>
      <c r="M32" s="3"/>
      <c r="N32" s="3"/>
      <c r="O32" s="3"/>
      <c r="P32" s="3"/>
      <c r="Q32" s="3"/>
      <c r="R32" s="3"/>
      <c r="S32" s="3"/>
      <c r="T32" s="3"/>
      <c r="U32" s="3"/>
      <c r="V32" s="3"/>
      <c r="W32" s="3"/>
      <c r="X32" s="3"/>
      <c r="Y32" s="3"/>
      <c r="Z32" s="3"/>
    </row>
    <row r="33" spans="1:26" x14ac:dyDescent="0.35">
      <c r="A33" s="4"/>
      <c r="B33" s="4"/>
      <c r="C33" s="4"/>
      <c r="D33" s="3"/>
      <c r="E33" s="3"/>
      <c r="F33" s="3"/>
      <c r="G33" s="3"/>
      <c r="H33" s="3"/>
      <c r="I33" s="3"/>
      <c r="J33" s="3"/>
      <c r="K33" s="3"/>
      <c r="L33" s="3"/>
      <c r="M33" s="3"/>
      <c r="N33" s="3"/>
      <c r="O33" s="3"/>
      <c r="P33" s="3"/>
      <c r="Q33" s="3"/>
      <c r="R33" s="3"/>
      <c r="S33" s="3"/>
      <c r="T33" s="3"/>
      <c r="U33" s="3"/>
      <c r="V33" s="3"/>
      <c r="W33" s="3"/>
      <c r="X33" s="3"/>
      <c r="Y33" s="3"/>
      <c r="Z33" s="3"/>
    </row>
    <row r="34" spans="1:26" x14ac:dyDescent="0.35">
      <c r="A34" s="4"/>
      <c r="B34" s="4"/>
      <c r="C34" s="4"/>
      <c r="D34" s="3"/>
      <c r="E34" s="3"/>
      <c r="F34" s="3"/>
      <c r="G34" s="3"/>
      <c r="H34" s="3"/>
      <c r="I34" s="3"/>
      <c r="J34" s="3"/>
      <c r="K34" s="3"/>
      <c r="L34" s="3"/>
      <c r="M34" s="3"/>
      <c r="N34" s="3"/>
      <c r="O34" s="3"/>
      <c r="P34" s="3"/>
      <c r="Q34" s="3"/>
      <c r="R34" s="3"/>
      <c r="S34" s="3"/>
      <c r="T34" s="3"/>
      <c r="U34" s="3"/>
      <c r="V34" s="3"/>
      <c r="W34" s="3"/>
      <c r="X34" s="3"/>
      <c r="Y34" s="3"/>
      <c r="Z34" s="3"/>
    </row>
    <row r="35" spans="1:26" x14ac:dyDescent="0.35">
      <c r="A35" s="4"/>
      <c r="B35" s="4"/>
      <c r="C35" s="4"/>
      <c r="D35" s="3"/>
      <c r="E35" s="3"/>
      <c r="F35" s="3"/>
      <c r="G35" s="3"/>
      <c r="H35" s="3"/>
      <c r="I35" s="3"/>
      <c r="J35" s="3"/>
      <c r="K35" s="3"/>
      <c r="L35" s="3"/>
      <c r="M35" s="3"/>
      <c r="N35" s="3"/>
      <c r="O35" s="3"/>
      <c r="P35" s="3"/>
      <c r="Q35" s="3"/>
      <c r="R35" s="3"/>
      <c r="S35" s="3"/>
      <c r="T35" s="3"/>
      <c r="U35" s="3"/>
      <c r="V35" s="3"/>
      <c r="W35" s="3"/>
      <c r="X35" s="3"/>
      <c r="Y35" s="3"/>
      <c r="Z35" s="3"/>
    </row>
    <row r="36" spans="1:26" x14ac:dyDescent="0.35">
      <c r="A36" s="4"/>
      <c r="B36" s="4"/>
      <c r="C36" s="4"/>
      <c r="D36" s="3"/>
      <c r="E36" s="3"/>
      <c r="F36" s="3"/>
      <c r="G36" s="3"/>
      <c r="H36" s="3"/>
      <c r="I36" s="3"/>
      <c r="J36" s="3"/>
      <c r="K36" s="3"/>
      <c r="L36" s="3"/>
      <c r="M36" s="3"/>
      <c r="N36" s="3"/>
      <c r="O36" s="3"/>
      <c r="P36" s="3"/>
      <c r="Q36" s="3"/>
      <c r="R36" s="3"/>
      <c r="S36" s="3"/>
      <c r="T36" s="3"/>
      <c r="U36" s="3"/>
      <c r="V36" s="3"/>
      <c r="W36" s="3"/>
      <c r="X36" s="3"/>
      <c r="Y36" s="3"/>
      <c r="Z36" s="3"/>
    </row>
    <row r="37" spans="1:26" x14ac:dyDescent="0.35">
      <c r="A37" s="4"/>
      <c r="B37" s="4"/>
      <c r="C37" s="4"/>
      <c r="D37" s="3"/>
      <c r="E37" s="3"/>
      <c r="F37" s="3"/>
      <c r="G37" s="3"/>
      <c r="H37" s="3"/>
      <c r="I37" s="3"/>
      <c r="J37" s="3"/>
      <c r="K37" s="3"/>
      <c r="L37" s="3"/>
      <c r="M37" s="3"/>
      <c r="N37" s="3"/>
      <c r="O37" s="3"/>
      <c r="P37" s="3"/>
      <c r="Q37" s="3"/>
      <c r="R37" s="3"/>
      <c r="S37" s="3"/>
      <c r="T37" s="3"/>
      <c r="U37" s="3"/>
      <c r="V37" s="3"/>
      <c r="W37" s="3"/>
      <c r="X37" s="3"/>
      <c r="Y37" s="3"/>
      <c r="Z37" s="3"/>
    </row>
    <row r="38" spans="1:26" x14ac:dyDescent="0.35">
      <c r="A38" s="4"/>
      <c r="B38" s="4"/>
      <c r="C38" s="4"/>
      <c r="D38" s="3"/>
      <c r="E38" s="3"/>
      <c r="F38" s="3"/>
      <c r="G38" s="3"/>
      <c r="H38" s="3"/>
      <c r="I38" s="3"/>
      <c r="J38" s="3"/>
      <c r="K38" s="3"/>
      <c r="L38" s="3"/>
      <c r="M38" s="3"/>
      <c r="N38" s="3"/>
      <c r="O38" s="3"/>
      <c r="P38" s="3"/>
      <c r="Q38" s="3"/>
      <c r="R38" s="3"/>
      <c r="S38" s="3"/>
      <c r="T38" s="3"/>
      <c r="U38" s="3"/>
      <c r="V38" s="3"/>
      <c r="W38" s="3"/>
      <c r="X38" s="3"/>
      <c r="Y38" s="3"/>
      <c r="Z38" s="3"/>
    </row>
    <row r="39" spans="1:26" x14ac:dyDescent="0.35">
      <c r="A39" s="4"/>
      <c r="B39" s="4"/>
      <c r="C39" s="4"/>
      <c r="D39" s="3"/>
      <c r="E39" s="3"/>
      <c r="F39" s="3"/>
      <c r="G39" s="3"/>
      <c r="H39" s="3"/>
      <c r="I39" s="3"/>
      <c r="J39" s="3"/>
      <c r="K39" s="3"/>
      <c r="L39" s="3"/>
      <c r="M39" s="3"/>
      <c r="N39" s="3"/>
      <c r="O39" s="3"/>
      <c r="P39" s="3"/>
      <c r="Q39" s="3"/>
      <c r="R39" s="3"/>
      <c r="S39" s="3"/>
      <c r="T39" s="3"/>
      <c r="U39" s="3"/>
      <c r="V39" s="3"/>
      <c r="W39" s="3"/>
      <c r="X39" s="3"/>
      <c r="Y39" s="3"/>
      <c r="Z39" s="3"/>
    </row>
    <row r="40" spans="1:26" x14ac:dyDescent="0.35">
      <c r="A40" s="4"/>
      <c r="B40" s="4"/>
      <c r="C40" s="4"/>
      <c r="D40" s="3"/>
      <c r="E40" s="3"/>
      <c r="F40" s="3"/>
      <c r="G40" s="3"/>
      <c r="H40" s="3"/>
      <c r="I40" s="3"/>
      <c r="J40" s="3"/>
      <c r="K40" s="3"/>
      <c r="L40" s="3"/>
      <c r="M40" s="3"/>
      <c r="N40" s="3"/>
      <c r="O40" s="3"/>
      <c r="P40" s="3"/>
      <c r="Q40" s="3"/>
      <c r="R40" s="3"/>
      <c r="S40" s="3"/>
      <c r="T40" s="3"/>
      <c r="U40" s="3"/>
      <c r="V40" s="3"/>
      <c r="W40" s="3"/>
      <c r="X40" s="3"/>
      <c r="Y40" s="3"/>
      <c r="Z40" s="3"/>
    </row>
    <row r="41" spans="1:26" x14ac:dyDescent="0.35">
      <c r="A41" s="3"/>
      <c r="B41" s="3"/>
      <c r="C41" s="3"/>
      <c r="D41" s="3"/>
      <c r="E41" s="3"/>
      <c r="F41" s="3"/>
      <c r="G41" s="3"/>
      <c r="H41" s="3"/>
      <c r="I41" s="3"/>
      <c r="J41" s="3"/>
      <c r="K41" s="3"/>
      <c r="L41" s="3"/>
      <c r="M41" s="3"/>
      <c r="N41" s="3"/>
      <c r="O41" s="3"/>
      <c r="P41" s="3"/>
      <c r="Q41" s="3"/>
      <c r="R41" s="3"/>
      <c r="S41" s="3"/>
      <c r="T41" s="3"/>
      <c r="U41" s="3"/>
      <c r="V41" s="3"/>
      <c r="W41" s="3"/>
      <c r="X41" s="3"/>
      <c r="Y41" s="3"/>
      <c r="Z41" s="3"/>
    </row>
    <row r="42" spans="1:26" x14ac:dyDescent="0.35">
      <c r="A42" s="3"/>
      <c r="B42" s="3"/>
      <c r="C42" s="3"/>
      <c r="D42" s="3"/>
      <c r="E42" s="3"/>
      <c r="F42" s="3"/>
      <c r="G42" s="3"/>
      <c r="H42" s="3"/>
      <c r="I42" s="3"/>
      <c r="J42" s="3"/>
      <c r="K42" s="3"/>
      <c r="L42" s="3"/>
      <c r="M42" s="3"/>
      <c r="N42" s="3"/>
      <c r="O42" s="3"/>
      <c r="P42" s="3"/>
      <c r="Q42" s="3"/>
      <c r="R42" s="3"/>
      <c r="S42" s="3"/>
      <c r="T42" s="3"/>
      <c r="U42" s="3"/>
      <c r="V42" s="3"/>
      <c r="W42" s="3"/>
      <c r="X42" s="3"/>
      <c r="Y42" s="3"/>
      <c r="Z42" s="3"/>
    </row>
    <row r="43" spans="1:26" x14ac:dyDescent="0.35">
      <c r="A43" s="3"/>
      <c r="B43" s="3"/>
      <c r="C43" s="3"/>
      <c r="D43" s="3"/>
      <c r="E43" s="3"/>
      <c r="F43" s="3"/>
      <c r="G43" s="3"/>
      <c r="H43" s="3"/>
      <c r="I43" s="3"/>
      <c r="J43" s="3"/>
      <c r="K43" s="3"/>
      <c r="L43" s="3"/>
      <c r="M43" s="3"/>
      <c r="N43" s="3"/>
      <c r="O43" s="3"/>
      <c r="P43" s="3"/>
      <c r="Q43" s="3"/>
      <c r="R43" s="3"/>
      <c r="S43" s="3"/>
      <c r="T43" s="3"/>
      <c r="U43" s="3"/>
      <c r="V43" s="3"/>
      <c r="W43" s="3"/>
      <c r="X43" s="3"/>
      <c r="Y43" s="3"/>
      <c r="Z43" s="3"/>
    </row>
    <row r="44" spans="1:26" x14ac:dyDescent="0.35">
      <c r="A44" s="3"/>
      <c r="B44" s="3"/>
      <c r="C44" s="3"/>
      <c r="D44" s="3"/>
      <c r="E44" s="3"/>
      <c r="F44" s="3"/>
      <c r="G44" s="3"/>
      <c r="H44" s="3"/>
      <c r="I44" s="3"/>
      <c r="J44" s="3"/>
      <c r="K44" s="3"/>
      <c r="L44" s="3"/>
      <c r="M44" s="3"/>
      <c r="N44" s="3"/>
      <c r="O44" s="3"/>
      <c r="P44" s="3"/>
      <c r="Q44" s="3"/>
      <c r="R44" s="3"/>
      <c r="S44" s="3"/>
      <c r="T44" s="3"/>
      <c r="U44" s="3"/>
      <c r="V44" s="3"/>
      <c r="W44" s="3"/>
      <c r="X44" s="3"/>
      <c r="Y44" s="3"/>
      <c r="Z44" s="3"/>
    </row>
    <row r="45" spans="1:26" x14ac:dyDescent="0.35">
      <c r="A45" s="3"/>
      <c r="B45" s="3"/>
      <c r="C45" s="3"/>
      <c r="D45" s="3"/>
      <c r="E45" s="3"/>
      <c r="F45" s="3"/>
      <c r="G45" s="3"/>
      <c r="H45" s="3"/>
      <c r="I45" s="3"/>
      <c r="J45" s="3"/>
      <c r="K45" s="3"/>
      <c r="L45" s="3"/>
      <c r="M45" s="3"/>
      <c r="N45" s="3"/>
      <c r="O45" s="3"/>
      <c r="P45" s="3"/>
      <c r="Q45" s="3"/>
      <c r="R45" s="3"/>
      <c r="S45" s="3"/>
      <c r="T45" s="3"/>
      <c r="U45" s="3"/>
      <c r="V45" s="3"/>
      <c r="W45" s="3"/>
      <c r="X45" s="3"/>
      <c r="Y45" s="3"/>
      <c r="Z45" s="3"/>
    </row>
    <row r="46" spans="1:26" x14ac:dyDescent="0.35">
      <c r="A46" s="3"/>
      <c r="B46" s="3"/>
      <c r="C46" s="3"/>
      <c r="D46" s="3"/>
      <c r="E46" s="3"/>
      <c r="F46" s="3"/>
      <c r="G46" s="3"/>
      <c r="H46" s="3"/>
      <c r="I46" s="3"/>
      <c r="J46" s="3"/>
      <c r="K46" s="3"/>
      <c r="L46" s="3"/>
      <c r="M46" s="3"/>
      <c r="N46" s="3"/>
      <c r="O46" s="3"/>
      <c r="P46" s="3"/>
      <c r="Q46" s="3"/>
      <c r="R46" s="3"/>
      <c r="S46" s="3"/>
      <c r="T46" s="3"/>
      <c r="U46" s="3"/>
      <c r="V46" s="3"/>
      <c r="W46" s="3"/>
      <c r="X46" s="3"/>
      <c r="Y46" s="3"/>
      <c r="Z46" s="3"/>
    </row>
    <row r="47" spans="1:26" x14ac:dyDescent="0.35">
      <c r="A47" s="3"/>
      <c r="B47" s="3"/>
      <c r="C47" s="3"/>
      <c r="D47" s="3"/>
      <c r="E47" s="3"/>
      <c r="F47" s="3"/>
      <c r="G47" s="3"/>
      <c r="H47" s="3"/>
      <c r="I47" s="3"/>
      <c r="J47" s="3"/>
      <c r="K47" s="3"/>
      <c r="L47" s="3"/>
      <c r="M47" s="3"/>
      <c r="N47" s="3"/>
      <c r="O47" s="3"/>
      <c r="P47" s="3"/>
      <c r="Q47" s="3"/>
      <c r="R47" s="3"/>
      <c r="S47" s="3"/>
      <c r="T47" s="3"/>
      <c r="U47" s="3"/>
      <c r="V47" s="3"/>
      <c r="W47" s="3"/>
      <c r="X47" s="3"/>
      <c r="Y47" s="3"/>
      <c r="Z47" s="3"/>
    </row>
    <row r="48" spans="1:26" x14ac:dyDescent="0.35">
      <c r="A48" s="3"/>
      <c r="B48" s="3"/>
      <c r="C48" s="3"/>
      <c r="D48" s="3"/>
      <c r="E48" s="3"/>
      <c r="F48" s="3"/>
      <c r="G48" s="3"/>
      <c r="H48" s="3"/>
      <c r="I48" s="3"/>
      <c r="J48" s="3"/>
      <c r="K48" s="3"/>
      <c r="L48" s="3"/>
      <c r="M48" s="3"/>
      <c r="N48" s="3"/>
      <c r="O48" s="3"/>
      <c r="P48" s="3"/>
      <c r="Q48" s="3"/>
      <c r="R48" s="3"/>
      <c r="S48" s="3"/>
      <c r="T48" s="3"/>
      <c r="U48" s="3"/>
      <c r="V48" s="3"/>
      <c r="W48" s="3"/>
      <c r="X48" s="3"/>
      <c r="Y48" s="3"/>
      <c r="Z48" s="3"/>
    </row>
    <row r="49" spans="1:26" x14ac:dyDescent="0.35">
      <c r="A49" s="3"/>
      <c r="B49" s="3"/>
      <c r="C49" s="3"/>
      <c r="D49" s="3"/>
      <c r="E49" s="3"/>
      <c r="F49" s="3"/>
      <c r="G49" s="3"/>
      <c r="H49" s="3"/>
      <c r="I49" s="3"/>
      <c r="J49" s="3"/>
      <c r="K49" s="3"/>
      <c r="L49" s="3"/>
      <c r="M49" s="3"/>
      <c r="N49" s="3"/>
      <c r="O49" s="3"/>
      <c r="P49" s="3"/>
      <c r="Q49" s="3"/>
      <c r="R49" s="3"/>
      <c r="S49" s="3"/>
      <c r="T49" s="3"/>
      <c r="U49" s="3"/>
      <c r="V49" s="3"/>
      <c r="W49" s="3"/>
      <c r="X49" s="3"/>
      <c r="Y49" s="3"/>
      <c r="Z49" s="3"/>
    </row>
    <row r="50" spans="1:26" x14ac:dyDescent="0.35">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x14ac:dyDescent="0.35">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x14ac:dyDescent="0.35">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x14ac:dyDescent="0.35">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x14ac:dyDescent="0.35">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x14ac:dyDescent="0.35">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x14ac:dyDescent="0.35">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x14ac:dyDescent="0.35">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x14ac:dyDescent="0.35">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x14ac:dyDescent="0.35">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x14ac:dyDescent="0.35">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x14ac:dyDescent="0.35">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x14ac:dyDescent="0.35">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x14ac:dyDescent="0.35">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x14ac:dyDescent="0.35">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x14ac:dyDescent="0.35">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x14ac:dyDescent="0.35">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x14ac:dyDescent="0.35">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x14ac:dyDescent="0.35">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x14ac:dyDescent="0.35">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x14ac:dyDescent="0.35">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x14ac:dyDescent="0.35">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x14ac:dyDescent="0.35">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x14ac:dyDescent="0.35">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x14ac:dyDescent="0.35">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x14ac:dyDescent="0.35">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x14ac:dyDescent="0.35">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x14ac:dyDescent="0.35">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x14ac:dyDescent="0.35">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x14ac:dyDescent="0.35">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x14ac:dyDescent="0.35">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x14ac:dyDescent="0.35">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x14ac:dyDescent="0.35">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x14ac:dyDescent="0.35">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x14ac:dyDescent="0.35">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x14ac:dyDescent="0.35">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x14ac:dyDescent="0.35">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x14ac:dyDescent="0.35">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x14ac:dyDescent="0.35">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x14ac:dyDescent="0.35">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x14ac:dyDescent="0.35">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x14ac:dyDescent="0.35">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x14ac:dyDescent="0.35">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x14ac:dyDescent="0.35">
      <c r="A93" s="3"/>
      <c r="B93" s="3"/>
      <c r="C93" s="3"/>
      <c r="D93" s="3"/>
      <c r="E93" s="3"/>
      <c r="F93" s="3"/>
      <c r="G93" s="3"/>
      <c r="H93" s="3"/>
      <c r="I93" s="3"/>
      <c r="J93" s="3"/>
      <c r="K93" s="3"/>
      <c r="L93" s="3"/>
      <c r="M93" s="3"/>
      <c r="N93" s="3"/>
      <c r="O93" s="3"/>
      <c r="P93" s="3"/>
      <c r="Q93" s="3"/>
      <c r="R93" s="3"/>
      <c r="S93" s="3"/>
      <c r="T93" s="3"/>
      <c r="U93" s="3"/>
      <c r="V93" s="3"/>
      <c r="W93" s="3"/>
      <c r="X93" s="3"/>
      <c r="Y93" s="3"/>
      <c r="Z93" s="3"/>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FDA03A1B-A36F-40D3-876C-7C5094680E0F}">
            <xm:f>'Search 1'!$A$1=1</xm:f>
            <x14:dxf>
              <font>
                <b/>
                <i val="0"/>
                <color theme="3" tint="0.24994659260841701"/>
              </font>
              <fill>
                <patternFill>
                  <bgColor theme="0"/>
                </patternFill>
              </fill>
              <border>
                <left/>
                <right/>
                <top/>
                <bottom/>
                <vertical/>
                <horizontal/>
              </border>
            </x14:dxf>
          </x14:cfRule>
          <xm:sqref>H4</xm:sqref>
        </x14:conditionalFormatting>
      </x14:conditionalFormatting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E44FA-C35B-485F-A00B-2C80B6C5D749}">
  <sheetPr codeName="Sheet6"/>
  <dimension ref="A1:AP74"/>
  <sheetViews>
    <sheetView zoomScale="85" zoomScaleNormal="85" workbookViewId="0">
      <selection activeCell="AH5" sqref="AH5"/>
    </sheetView>
  </sheetViews>
  <sheetFormatPr defaultRowHeight="14.5" x14ac:dyDescent="0.35"/>
  <cols>
    <col min="1" max="1" width="24.81640625" bestFit="1" customWidth="1"/>
    <col min="2" max="2" width="15.1796875" bestFit="1" customWidth="1"/>
    <col min="4" max="4" width="13.1796875" bestFit="1" customWidth="1"/>
    <col min="5" max="5" width="15.1796875" bestFit="1" customWidth="1"/>
    <col min="7" max="7" width="9.90625" bestFit="1" customWidth="1"/>
    <col min="8" max="8" width="15.1796875" bestFit="1" customWidth="1"/>
    <col min="9" max="9" width="16.1796875" bestFit="1" customWidth="1"/>
    <col min="11" max="11" width="20.1796875" bestFit="1" customWidth="1"/>
    <col min="12" max="12" width="15.1796875" bestFit="1" customWidth="1"/>
    <col min="13" max="13" width="16.1796875" bestFit="1" customWidth="1"/>
    <col min="15" max="15" width="15.7265625" bestFit="1" customWidth="1"/>
    <col min="16" max="16" width="15.1796875" bestFit="1" customWidth="1"/>
    <col min="17" max="17" width="16.1796875" bestFit="1" customWidth="1"/>
    <col min="18" max="18" width="10.81640625" bestFit="1" customWidth="1"/>
    <col min="21" max="21" width="20.90625" bestFit="1" customWidth="1"/>
    <col min="24" max="24" width="12.36328125" bestFit="1" customWidth="1"/>
    <col min="25" max="25" width="16.36328125" bestFit="1" customWidth="1"/>
    <col min="27" max="27" width="11.1796875" bestFit="1" customWidth="1"/>
    <col min="28" max="28" width="16.36328125" bestFit="1" customWidth="1"/>
    <col min="30" max="30" width="12.6328125" bestFit="1" customWidth="1"/>
    <col min="31" max="31" width="9.08984375" bestFit="1" customWidth="1"/>
    <col min="32" max="32" width="10.36328125" bestFit="1" customWidth="1"/>
    <col min="34" max="34" width="15.6328125" bestFit="1" customWidth="1"/>
    <col min="35" max="35" width="9.08984375" bestFit="1" customWidth="1"/>
    <col min="36" max="36" width="13.36328125" bestFit="1" customWidth="1"/>
    <col min="38" max="38" width="14.453125" bestFit="1" customWidth="1"/>
    <col min="39" max="39" width="9.08984375" bestFit="1" customWidth="1"/>
    <col min="40" max="40" width="12.90625" bestFit="1" customWidth="1"/>
    <col min="41" max="41" width="15.36328125" bestFit="1" customWidth="1"/>
    <col min="42" max="42" width="9.08984375" bestFit="1" customWidth="1"/>
  </cols>
  <sheetData>
    <row r="1" spans="1:42" x14ac:dyDescent="0.35">
      <c r="A1" s="9">
        <f ca="1">TODAY()</f>
        <v>44921</v>
      </c>
    </row>
    <row r="3" spans="1:42" x14ac:dyDescent="0.35">
      <c r="B3" t="s">
        <v>1239</v>
      </c>
      <c r="D3" s="10" t="s">
        <v>1240</v>
      </c>
      <c r="E3" t="s">
        <v>1239</v>
      </c>
      <c r="G3" s="10" t="s">
        <v>0</v>
      </c>
      <c r="H3" t="s">
        <v>1239</v>
      </c>
      <c r="I3" t="s">
        <v>1271</v>
      </c>
      <c r="K3" s="10" t="s">
        <v>6</v>
      </c>
      <c r="L3" t="s">
        <v>1239</v>
      </c>
      <c r="M3" t="s">
        <v>1271</v>
      </c>
      <c r="O3" s="10" t="s">
        <v>4</v>
      </c>
      <c r="P3" t="s">
        <v>1239</v>
      </c>
      <c r="R3" s="10" t="s">
        <v>5</v>
      </c>
      <c r="U3" s="10" t="s">
        <v>7</v>
      </c>
      <c r="X3" s="10" t="s">
        <v>8</v>
      </c>
      <c r="Y3" t="s">
        <v>9</v>
      </c>
      <c r="AA3" s="10" t="s">
        <v>10</v>
      </c>
      <c r="AB3" t="s">
        <v>9</v>
      </c>
      <c r="AD3" s="10" t="s">
        <v>2</v>
      </c>
      <c r="AE3" t="s">
        <v>1272</v>
      </c>
      <c r="AF3" t="s">
        <v>1273</v>
      </c>
      <c r="AH3" s="10" t="s">
        <v>3</v>
      </c>
      <c r="AI3" t="s">
        <v>1272</v>
      </c>
      <c r="AJ3" t="s">
        <v>1274</v>
      </c>
      <c r="AL3" s="10" t="s">
        <v>11</v>
      </c>
      <c r="AM3" t="s">
        <v>1272</v>
      </c>
      <c r="AO3" s="10" t="s">
        <v>12</v>
      </c>
      <c r="AP3" t="s">
        <v>1272</v>
      </c>
    </row>
    <row r="4" spans="1:42" x14ac:dyDescent="0.35">
      <c r="B4">
        <v>151</v>
      </c>
      <c r="D4" s="11" t="s">
        <v>1243</v>
      </c>
      <c r="E4">
        <v>10</v>
      </c>
      <c r="G4" t="s">
        <v>13</v>
      </c>
      <c r="H4">
        <v>36</v>
      </c>
      <c r="I4" s="12">
        <v>0.23841059602649006</v>
      </c>
      <c r="K4" t="s">
        <v>18</v>
      </c>
      <c r="L4">
        <v>139</v>
      </c>
      <c r="M4" s="13">
        <v>0.92052980132450335</v>
      </c>
      <c r="O4" t="s">
        <v>16</v>
      </c>
      <c r="P4">
        <v>1</v>
      </c>
      <c r="R4" t="s">
        <v>17</v>
      </c>
      <c r="U4" t="s">
        <v>19</v>
      </c>
      <c r="X4" t="s">
        <v>20</v>
      </c>
      <c r="Y4">
        <v>29</v>
      </c>
      <c r="AA4" t="s">
        <v>21</v>
      </c>
      <c r="AB4">
        <v>53</v>
      </c>
      <c r="AD4" t="s">
        <v>14</v>
      </c>
      <c r="AE4">
        <v>51</v>
      </c>
      <c r="AF4" s="13">
        <v>0.33774834437086093</v>
      </c>
      <c r="AH4" t="s">
        <v>15</v>
      </c>
      <c r="AI4">
        <v>27</v>
      </c>
      <c r="AJ4" s="13">
        <v>0.17880794701986755</v>
      </c>
      <c r="AL4" t="s">
        <v>22</v>
      </c>
      <c r="AM4">
        <v>37</v>
      </c>
      <c r="AO4" t="s">
        <v>23</v>
      </c>
      <c r="AP4">
        <v>63</v>
      </c>
    </row>
    <row r="5" spans="1:42" x14ac:dyDescent="0.35">
      <c r="D5" s="11" t="s">
        <v>25</v>
      </c>
      <c r="E5">
        <v>1</v>
      </c>
      <c r="G5" t="s">
        <v>24</v>
      </c>
      <c r="H5">
        <v>115</v>
      </c>
      <c r="I5" s="12">
        <v>0.76158940397350994</v>
      </c>
      <c r="K5" t="s">
        <v>30</v>
      </c>
      <c r="L5">
        <v>12</v>
      </c>
      <c r="M5" s="13">
        <v>7.9470198675496692E-2</v>
      </c>
      <c r="O5" t="s">
        <v>28</v>
      </c>
      <c r="P5">
        <v>99</v>
      </c>
      <c r="R5" t="s">
        <v>76</v>
      </c>
      <c r="S5" t="s">
        <v>48</v>
      </c>
      <c r="U5" t="s">
        <v>31</v>
      </c>
      <c r="V5" t="s">
        <v>48</v>
      </c>
      <c r="X5" t="s">
        <v>32</v>
      </c>
      <c r="Y5">
        <v>122</v>
      </c>
      <c r="AA5" t="s">
        <v>33</v>
      </c>
      <c r="AB5">
        <v>29</v>
      </c>
      <c r="AD5" t="s">
        <v>26</v>
      </c>
      <c r="AE5">
        <v>73</v>
      </c>
      <c r="AF5" s="13">
        <v>0.48344370860927155</v>
      </c>
      <c r="AH5" t="s">
        <v>27</v>
      </c>
      <c r="AI5">
        <v>26</v>
      </c>
      <c r="AJ5" s="13">
        <v>0.17218543046357615</v>
      </c>
      <c r="AL5" t="s">
        <v>34</v>
      </c>
      <c r="AM5">
        <v>29</v>
      </c>
      <c r="AO5" t="s">
        <v>35</v>
      </c>
      <c r="AP5">
        <v>71</v>
      </c>
    </row>
    <row r="6" spans="1:42" x14ac:dyDescent="0.35">
      <c r="D6" s="11" t="s">
        <v>37</v>
      </c>
      <c r="E6">
        <v>5</v>
      </c>
      <c r="O6" t="s">
        <v>40</v>
      </c>
      <c r="P6">
        <v>51</v>
      </c>
      <c r="R6" t="s">
        <v>29</v>
      </c>
      <c r="S6">
        <f>COUNTA(R:R)-1</f>
        <v>14</v>
      </c>
      <c r="U6" t="s">
        <v>42</v>
      </c>
      <c r="V6">
        <f>COUNTA(U4:U34)</f>
        <v>9</v>
      </c>
      <c r="AA6" t="s">
        <v>43</v>
      </c>
      <c r="AB6">
        <v>34</v>
      </c>
      <c r="AD6" t="s">
        <v>38</v>
      </c>
      <c r="AE6">
        <v>27</v>
      </c>
      <c r="AF6" s="13">
        <v>0.17880794701986755</v>
      </c>
      <c r="AH6" t="s">
        <v>39</v>
      </c>
      <c r="AI6">
        <v>98</v>
      </c>
      <c r="AJ6" s="13">
        <v>0.64900662251655628</v>
      </c>
      <c r="AL6" t="s">
        <v>20</v>
      </c>
      <c r="AM6">
        <v>23</v>
      </c>
      <c r="AO6" t="s">
        <v>44</v>
      </c>
      <c r="AP6">
        <v>17</v>
      </c>
    </row>
    <row r="7" spans="1:42" x14ac:dyDescent="0.35">
      <c r="D7" s="11" t="s">
        <v>45</v>
      </c>
      <c r="E7">
        <v>7</v>
      </c>
      <c r="R7" t="s">
        <v>41</v>
      </c>
      <c r="U7" t="s">
        <v>47</v>
      </c>
      <c r="AA7" t="s">
        <v>49</v>
      </c>
      <c r="AB7">
        <v>35</v>
      </c>
      <c r="AL7" t="s">
        <v>50</v>
      </c>
      <c r="AM7">
        <v>21</v>
      </c>
    </row>
    <row r="8" spans="1:42" x14ac:dyDescent="0.35">
      <c r="D8" s="11" t="s">
        <v>51</v>
      </c>
      <c r="E8">
        <v>2</v>
      </c>
      <c r="R8" t="s">
        <v>46</v>
      </c>
      <c r="U8" t="s">
        <v>53</v>
      </c>
      <c r="AD8" t="str">
        <f>AD3</f>
        <v>Age Group</v>
      </c>
      <c r="AE8" t="str">
        <f>AE3</f>
        <v xml:space="preserve"> Job Level</v>
      </c>
      <c r="AH8" t="str">
        <f>AH3</f>
        <v>Religous Faith</v>
      </c>
      <c r="AI8" t="str">
        <f>AI3</f>
        <v xml:space="preserve"> Job Level</v>
      </c>
      <c r="AL8" t="s">
        <v>54</v>
      </c>
      <c r="AM8">
        <v>18</v>
      </c>
    </row>
    <row r="9" spans="1:42" x14ac:dyDescent="0.35">
      <c r="D9" s="11" t="s">
        <v>55</v>
      </c>
      <c r="E9">
        <v>1</v>
      </c>
      <c r="R9" t="s">
        <v>77</v>
      </c>
      <c r="U9" t="s">
        <v>57</v>
      </c>
      <c r="AD9" t="str">
        <f t="shared" ref="AD9:AE9" si="0">AD4</f>
        <v>31 to 40</v>
      </c>
      <c r="AE9">
        <f t="shared" si="0"/>
        <v>51</v>
      </c>
      <c r="AH9" t="str">
        <f t="shared" ref="AH9:AI9" si="1">AH4</f>
        <v>Christian</v>
      </c>
      <c r="AI9">
        <f t="shared" si="1"/>
        <v>27</v>
      </c>
      <c r="AL9" t="s">
        <v>58</v>
      </c>
      <c r="AM9">
        <v>17</v>
      </c>
    </row>
    <row r="10" spans="1:42" x14ac:dyDescent="0.35">
      <c r="D10" s="11" t="s">
        <v>59</v>
      </c>
      <c r="E10">
        <v>1</v>
      </c>
      <c r="R10" t="s">
        <v>74</v>
      </c>
      <c r="U10" t="s">
        <v>61</v>
      </c>
      <c r="AD10" t="str">
        <f t="shared" ref="AD10:AE10" si="2">AD5</f>
        <v>41 to 50</v>
      </c>
      <c r="AE10">
        <f t="shared" si="2"/>
        <v>73</v>
      </c>
      <c r="AH10" t="str">
        <f t="shared" ref="AH10:AI10" si="3">AH5</f>
        <v xml:space="preserve">Hindu </v>
      </c>
      <c r="AI10">
        <f t="shared" si="3"/>
        <v>26</v>
      </c>
      <c r="AL10" t="s">
        <v>62</v>
      </c>
      <c r="AM10">
        <v>3</v>
      </c>
    </row>
    <row r="11" spans="1:42" x14ac:dyDescent="0.35">
      <c r="D11" s="11" t="s">
        <v>63</v>
      </c>
      <c r="E11">
        <v>1</v>
      </c>
      <c r="R11" t="s">
        <v>52</v>
      </c>
      <c r="U11" t="s">
        <v>65</v>
      </c>
      <c r="AD11" t="str">
        <f t="shared" ref="AD11:AE11" si="4">AD6</f>
        <v>50 to 60</v>
      </c>
      <c r="AE11">
        <f t="shared" si="4"/>
        <v>27</v>
      </c>
      <c r="AH11" t="str">
        <f t="shared" ref="AH11:AI11" si="5">AH6</f>
        <v>Muslim</v>
      </c>
      <c r="AI11">
        <f t="shared" si="5"/>
        <v>98</v>
      </c>
      <c r="AL11" t="s">
        <v>66</v>
      </c>
      <c r="AM11">
        <v>2</v>
      </c>
    </row>
    <row r="12" spans="1:42" x14ac:dyDescent="0.35">
      <c r="D12" s="11" t="s">
        <v>1244</v>
      </c>
      <c r="E12">
        <v>11</v>
      </c>
      <c r="R12" t="s">
        <v>72</v>
      </c>
      <c r="U12" t="s">
        <v>68</v>
      </c>
      <c r="AL12" t="s">
        <v>69</v>
      </c>
      <c r="AM12">
        <v>1</v>
      </c>
    </row>
    <row r="13" spans="1:42" x14ac:dyDescent="0.35">
      <c r="D13" s="11" t="s">
        <v>1260</v>
      </c>
      <c r="E13">
        <v>1</v>
      </c>
      <c r="R13" t="s">
        <v>56</v>
      </c>
    </row>
    <row r="14" spans="1:42" x14ac:dyDescent="0.35">
      <c r="D14" s="11" t="s">
        <v>71</v>
      </c>
      <c r="E14">
        <v>3</v>
      </c>
      <c r="R14" t="s">
        <v>60</v>
      </c>
    </row>
    <row r="15" spans="1:42" x14ac:dyDescent="0.35">
      <c r="D15" s="11" t="s">
        <v>73</v>
      </c>
      <c r="E15">
        <v>1</v>
      </c>
      <c r="R15" t="s">
        <v>64</v>
      </c>
    </row>
    <row r="16" spans="1:42" x14ac:dyDescent="0.35">
      <c r="D16" s="11" t="s">
        <v>75</v>
      </c>
      <c r="E16">
        <v>1</v>
      </c>
      <c r="R16" t="s">
        <v>67</v>
      </c>
    </row>
    <row r="17" spans="4:18" x14ac:dyDescent="0.35">
      <c r="D17" s="11" t="s">
        <v>1261</v>
      </c>
      <c r="E17">
        <v>2</v>
      </c>
      <c r="R17" t="s">
        <v>70</v>
      </c>
    </row>
    <row r="18" spans="4:18" x14ac:dyDescent="0.35">
      <c r="D18" s="11" t="s">
        <v>1267</v>
      </c>
      <c r="E18">
        <v>1</v>
      </c>
    </row>
    <row r="19" spans="4:18" x14ac:dyDescent="0.35">
      <c r="D19" s="11" t="s">
        <v>78</v>
      </c>
      <c r="E19">
        <v>1</v>
      </c>
    </row>
    <row r="20" spans="4:18" x14ac:dyDescent="0.35">
      <c r="D20" s="11" t="s">
        <v>79</v>
      </c>
      <c r="E20">
        <v>3</v>
      </c>
    </row>
    <row r="21" spans="4:18" x14ac:dyDescent="0.35">
      <c r="D21" s="11" t="s">
        <v>80</v>
      </c>
      <c r="E21">
        <v>1</v>
      </c>
    </row>
    <row r="22" spans="4:18" x14ac:dyDescent="0.35">
      <c r="D22" s="11" t="s">
        <v>1252</v>
      </c>
      <c r="E22">
        <v>8</v>
      </c>
    </row>
    <row r="23" spans="4:18" x14ac:dyDescent="0.35">
      <c r="D23" s="11" t="s">
        <v>1253</v>
      </c>
      <c r="E23">
        <v>1</v>
      </c>
    </row>
    <row r="24" spans="4:18" x14ac:dyDescent="0.35">
      <c r="D24" s="11" t="s">
        <v>1268</v>
      </c>
      <c r="E24">
        <v>2</v>
      </c>
    </row>
    <row r="25" spans="4:18" x14ac:dyDescent="0.35">
      <c r="D25" s="11" t="s">
        <v>1262</v>
      </c>
      <c r="E25">
        <v>2</v>
      </c>
    </row>
    <row r="26" spans="4:18" x14ac:dyDescent="0.35">
      <c r="D26" s="11" t="s">
        <v>81</v>
      </c>
      <c r="E26">
        <v>1</v>
      </c>
    </row>
    <row r="27" spans="4:18" x14ac:dyDescent="0.35">
      <c r="D27" s="11" t="s">
        <v>82</v>
      </c>
      <c r="E27">
        <v>1</v>
      </c>
    </row>
    <row r="28" spans="4:18" x14ac:dyDescent="0.35">
      <c r="D28" s="11" t="s">
        <v>1250</v>
      </c>
      <c r="E28">
        <v>3</v>
      </c>
    </row>
    <row r="29" spans="4:18" x14ac:dyDescent="0.35">
      <c r="D29" s="11" t="s">
        <v>83</v>
      </c>
      <c r="E29">
        <v>1</v>
      </c>
    </row>
    <row r="30" spans="4:18" x14ac:dyDescent="0.35">
      <c r="D30" s="11" t="s">
        <v>84</v>
      </c>
      <c r="E30">
        <v>1</v>
      </c>
    </row>
    <row r="31" spans="4:18" x14ac:dyDescent="0.35">
      <c r="D31" s="11" t="s">
        <v>85</v>
      </c>
      <c r="E31">
        <v>1</v>
      </c>
    </row>
    <row r="32" spans="4:18" x14ac:dyDescent="0.35">
      <c r="D32" s="11" t="s">
        <v>1256</v>
      </c>
      <c r="E32">
        <v>3</v>
      </c>
    </row>
    <row r="33" spans="4:5" x14ac:dyDescent="0.35">
      <c r="D33" s="11" t="s">
        <v>1257</v>
      </c>
      <c r="E33">
        <v>1</v>
      </c>
    </row>
    <row r="34" spans="4:5" x14ac:dyDescent="0.35">
      <c r="D34" s="11" t="s">
        <v>86</v>
      </c>
      <c r="E34">
        <v>1</v>
      </c>
    </row>
    <row r="35" spans="4:5" x14ac:dyDescent="0.35">
      <c r="D35" s="11" t="s">
        <v>87</v>
      </c>
      <c r="E35">
        <v>1</v>
      </c>
    </row>
    <row r="36" spans="4:5" x14ac:dyDescent="0.35">
      <c r="D36" s="11" t="s">
        <v>88</v>
      </c>
      <c r="E36">
        <v>2</v>
      </c>
    </row>
    <row r="37" spans="4:5" x14ac:dyDescent="0.35">
      <c r="D37" s="11" t="s">
        <v>1241</v>
      </c>
      <c r="E37">
        <v>6</v>
      </c>
    </row>
    <row r="38" spans="4:5" x14ac:dyDescent="0.35">
      <c r="D38" s="11" t="s">
        <v>1248</v>
      </c>
      <c r="E38">
        <v>1</v>
      </c>
    </row>
    <row r="39" spans="4:5" x14ac:dyDescent="0.35">
      <c r="D39" s="11" t="s">
        <v>1249</v>
      </c>
      <c r="E39">
        <v>1</v>
      </c>
    </row>
    <row r="40" spans="4:5" x14ac:dyDescent="0.35">
      <c r="D40" s="11" t="s">
        <v>1269</v>
      </c>
      <c r="E40">
        <v>2</v>
      </c>
    </row>
    <row r="41" spans="4:5" x14ac:dyDescent="0.35">
      <c r="D41" s="11" t="s">
        <v>89</v>
      </c>
      <c r="E41">
        <v>2</v>
      </c>
    </row>
    <row r="42" spans="4:5" x14ac:dyDescent="0.35">
      <c r="D42" s="11" t="s">
        <v>90</v>
      </c>
      <c r="E42">
        <v>1</v>
      </c>
    </row>
    <row r="43" spans="4:5" x14ac:dyDescent="0.35">
      <c r="D43" s="11" t="s">
        <v>1254</v>
      </c>
      <c r="E43">
        <v>5</v>
      </c>
    </row>
    <row r="44" spans="4:5" x14ac:dyDescent="0.35">
      <c r="D44" s="11" t="s">
        <v>1255</v>
      </c>
      <c r="E44">
        <v>1</v>
      </c>
    </row>
    <row r="45" spans="4:5" x14ac:dyDescent="0.35">
      <c r="D45" s="11" t="s">
        <v>91</v>
      </c>
      <c r="E45">
        <v>1</v>
      </c>
    </row>
    <row r="46" spans="4:5" x14ac:dyDescent="0.35">
      <c r="D46" s="11" t="s">
        <v>92</v>
      </c>
      <c r="E46">
        <v>1</v>
      </c>
    </row>
    <row r="47" spans="4:5" x14ac:dyDescent="0.35">
      <c r="D47" s="11" t="s">
        <v>93</v>
      </c>
      <c r="E47">
        <v>1</v>
      </c>
    </row>
    <row r="48" spans="4:5" x14ac:dyDescent="0.35">
      <c r="D48" s="11" t="s">
        <v>94</v>
      </c>
      <c r="E48">
        <v>1</v>
      </c>
    </row>
    <row r="49" spans="4:5" x14ac:dyDescent="0.35">
      <c r="D49" s="11" t="s">
        <v>1263</v>
      </c>
      <c r="E49">
        <v>2</v>
      </c>
    </row>
    <row r="50" spans="4:5" x14ac:dyDescent="0.35">
      <c r="D50" s="11" t="s">
        <v>1251</v>
      </c>
      <c r="E50">
        <v>1</v>
      </c>
    </row>
    <row r="51" spans="4:5" x14ac:dyDescent="0.35">
      <c r="D51" s="11" t="s">
        <v>1264</v>
      </c>
      <c r="E51">
        <v>2</v>
      </c>
    </row>
    <row r="52" spans="4:5" x14ac:dyDescent="0.35">
      <c r="D52" s="11" t="s">
        <v>1245</v>
      </c>
      <c r="E52">
        <v>1</v>
      </c>
    </row>
    <row r="53" spans="4:5" x14ac:dyDescent="0.35">
      <c r="D53" s="11" t="s">
        <v>95</v>
      </c>
      <c r="E53">
        <v>3</v>
      </c>
    </row>
    <row r="54" spans="4:5" x14ac:dyDescent="0.35">
      <c r="D54" s="11" t="s">
        <v>96</v>
      </c>
      <c r="E54">
        <v>2</v>
      </c>
    </row>
    <row r="55" spans="4:5" x14ac:dyDescent="0.35">
      <c r="D55" s="11" t="s">
        <v>1242</v>
      </c>
      <c r="E55">
        <v>2</v>
      </c>
    </row>
    <row r="56" spans="4:5" x14ac:dyDescent="0.35">
      <c r="D56" s="11" t="s">
        <v>1265</v>
      </c>
      <c r="E56">
        <v>1</v>
      </c>
    </row>
    <row r="57" spans="4:5" x14ac:dyDescent="0.35">
      <c r="D57" s="11" t="s">
        <v>97</v>
      </c>
      <c r="E57">
        <v>1</v>
      </c>
    </row>
    <row r="58" spans="4:5" x14ac:dyDescent="0.35">
      <c r="D58" s="11" t="s">
        <v>98</v>
      </c>
      <c r="E58">
        <v>2</v>
      </c>
    </row>
    <row r="59" spans="4:5" x14ac:dyDescent="0.35">
      <c r="D59" s="11" t="s">
        <v>1247</v>
      </c>
      <c r="E59">
        <v>4</v>
      </c>
    </row>
    <row r="60" spans="4:5" x14ac:dyDescent="0.35">
      <c r="D60" s="11" t="s">
        <v>1258</v>
      </c>
      <c r="E60">
        <v>1</v>
      </c>
    </row>
    <row r="61" spans="4:5" x14ac:dyDescent="0.35">
      <c r="D61" s="11" t="s">
        <v>1270</v>
      </c>
      <c r="E61">
        <v>3</v>
      </c>
    </row>
    <row r="62" spans="4:5" x14ac:dyDescent="0.35">
      <c r="D62" s="11" t="s">
        <v>1266</v>
      </c>
      <c r="E62">
        <v>1</v>
      </c>
    </row>
    <row r="63" spans="4:5" x14ac:dyDescent="0.35">
      <c r="D63" s="11" t="s">
        <v>99</v>
      </c>
      <c r="E63">
        <v>1</v>
      </c>
    </row>
    <row r="64" spans="4:5" x14ac:dyDescent="0.35">
      <c r="D64" s="11" t="s">
        <v>100</v>
      </c>
      <c r="E64">
        <v>5</v>
      </c>
    </row>
    <row r="65" spans="4:5" x14ac:dyDescent="0.35">
      <c r="D65" s="11" t="s">
        <v>101</v>
      </c>
      <c r="E65">
        <v>1</v>
      </c>
    </row>
    <row r="66" spans="4:5" x14ac:dyDescent="0.35">
      <c r="D66" s="11" t="s">
        <v>102</v>
      </c>
      <c r="E66">
        <v>1</v>
      </c>
    </row>
    <row r="67" spans="4:5" x14ac:dyDescent="0.35">
      <c r="D67" s="11" t="s">
        <v>103</v>
      </c>
      <c r="E67">
        <v>1</v>
      </c>
    </row>
    <row r="68" spans="4:5" x14ac:dyDescent="0.35">
      <c r="D68" s="11" t="s">
        <v>104</v>
      </c>
      <c r="E68">
        <v>1</v>
      </c>
    </row>
    <row r="69" spans="4:5" x14ac:dyDescent="0.35">
      <c r="D69" s="11" t="s">
        <v>1246</v>
      </c>
      <c r="E69">
        <v>5</v>
      </c>
    </row>
    <row r="70" spans="4:5" x14ac:dyDescent="0.35">
      <c r="D70" s="11" t="s">
        <v>1259</v>
      </c>
      <c r="E70">
        <v>1</v>
      </c>
    </row>
    <row r="71" spans="4:5" x14ac:dyDescent="0.35">
      <c r="D71" s="11" t="s">
        <v>105</v>
      </c>
      <c r="E71">
        <v>1</v>
      </c>
    </row>
    <row r="72" spans="4:5" x14ac:dyDescent="0.35">
      <c r="D72" s="11" t="s">
        <v>106</v>
      </c>
      <c r="E72">
        <v>1</v>
      </c>
    </row>
    <row r="73" spans="4:5" x14ac:dyDescent="0.35">
      <c r="D73" s="11" t="s">
        <v>107</v>
      </c>
      <c r="E73">
        <v>2</v>
      </c>
    </row>
    <row r="74" spans="4:5" x14ac:dyDescent="0.35">
      <c r="D74" s="11" t="s">
        <v>36</v>
      </c>
      <c r="E74">
        <v>151</v>
      </c>
    </row>
  </sheetData>
  <pageMargins left="0.7" right="0.7" top="0.75" bottom="0.75" header="0.3" footer="0.3"/>
  <pageSetup orientation="portrait"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04B5-D527-461E-BE5F-D4ACC95D8788}">
  <sheetPr codeName="Sheet8"/>
  <dimension ref="A1:Y153"/>
  <sheetViews>
    <sheetView workbookViewId="0">
      <selection activeCell="D8" sqref="D8"/>
    </sheetView>
  </sheetViews>
  <sheetFormatPr defaultRowHeight="14.5" x14ac:dyDescent="0.35"/>
  <cols>
    <col min="1" max="1" width="1.81640625" bestFit="1" customWidth="1"/>
    <col min="2" max="2" width="27" bestFit="1" customWidth="1"/>
    <col min="3" max="3" width="11.6328125" bestFit="1" customWidth="1"/>
    <col min="4" max="4" width="9.26953125" bestFit="1" customWidth="1"/>
    <col min="5" max="5" width="6.1796875" bestFit="1" customWidth="1"/>
    <col min="6" max="6" width="14.6328125" bestFit="1" customWidth="1"/>
    <col min="7" max="7" width="14.36328125" bestFit="1" customWidth="1"/>
    <col min="8" max="8" width="14.90625" bestFit="1" customWidth="1"/>
    <col min="9" max="9" width="21.08984375" bestFit="1" customWidth="1"/>
    <col min="10" max="10" width="19.6328125" bestFit="1" customWidth="1"/>
    <col min="11" max="11" width="14.81640625" bestFit="1" customWidth="1"/>
    <col min="12" max="12" width="18" bestFit="1" customWidth="1"/>
    <col min="13" max="14" width="10.1796875" bestFit="1" customWidth="1"/>
    <col min="15" max="15" width="26.90625" bestFit="1" customWidth="1"/>
    <col min="16" max="16" width="9.1796875" bestFit="1" customWidth="1"/>
    <col min="17" max="17" width="7" bestFit="1" customWidth="1"/>
    <col min="18" max="18" width="3.90625" bestFit="1" customWidth="1"/>
    <col min="19" max="19" width="12.26953125" bestFit="1" customWidth="1"/>
    <col min="20" max="20" width="9.81640625" bestFit="1" customWidth="1"/>
    <col min="21" max="21" width="12.36328125" bestFit="1" customWidth="1"/>
    <col min="22" max="22" width="15.90625" bestFit="1" customWidth="1"/>
    <col min="23" max="23" width="17.08984375" bestFit="1" customWidth="1"/>
    <col min="24" max="24" width="14.81640625" bestFit="1" customWidth="1"/>
    <col min="25" max="25" width="15.6328125" bestFit="1" customWidth="1"/>
  </cols>
  <sheetData>
    <row r="1" spans="1:25" x14ac:dyDescent="0.35">
      <c r="A1">
        <f>COUNTA('Dashboard 1'!$H$4)</f>
        <v>0</v>
      </c>
    </row>
    <row r="3" spans="1:25" x14ac:dyDescent="0.35">
      <c r="B3" s="5" t="s">
        <v>108</v>
      </c>
      <c r="C3" s="5" t="s">
        <v>109</v>
      </c>
      <c r="D3" s="5" t="s">
        <v>0</v>
      </c>
      <c r="E3" s="5" t="s">
        <v>110</v>
      </c>
      <c r="F3" s="5" t="s">
        <v>3</v>
      </c>
      <c r="G3" s="5" t="s">
        <v>111</v>
      </c>
      <c r="H3" s="5" t="s">
        <v>4</v>
      </c>
      <c r="I3" s="5" t="s">
        <v>7</v>
      </c>
      <c r="J3" s="5" t="s">
        <v>6</v>
      </c>
      <c r="K3" s="5" t="s">
        <v>112</v>
      </c>
      <c r="L3" s="5" t="s">
        <v>113</v>
      </c>
    </row>
    <row r="5" spans="1:25" x14ac:dyDescent="0.35">
      <c r="B5" s="10" t="s">
        <v>108</v>
      </c>
      <c r="C5" s="10" t="s">
        <v>109</v>
      </c>
      <c r="D5" s="10" t="s">
        <v>0</v>
      </c>
      <c r="E5" s="10" t="s">
        <v>110</v>
      </c>
      <c r="F5" s="10" t="s">
        <v>3</v>
      </c>
      <c r="G5" s="10" t="s">
        <v>111</v>
      </c>
      <c r="H5" s="10" t="s">
        <v>4</v>
      </c>
      <c r="I5" s="10" t="s">
        <v>7</v>
      </c>
      <c r="J5" s="10" t="s">
        <v>6</v>
      </c>
      <c r="K5" s="10" t="s">
        <v>112</v>
      </c>
      <c r="L5" s="10" t="s">
        <v>113</v>
      </c>
      <c r="O5" t="s">
        <v>108</v>
      </c>
      <c r="P5" t="s">
        <v>109</v>
      </c>
      <c r="Q5" t="s">
        <v>0</v>
      </c>
      <c r="R5" t="s">
        <v>110</v>
      </c>
      <c r="S5" t="s">
        <v>3</v>
      </c>
      <c r="T5" t="s">
        <v>111</v>
      </c>
      <c r="U5" t="s">
        <v>4</v>
      </c>
      <c r="V5" t="s">
        <v>7</v>
      </c>
      <c r="W5" t="s">
        <v>6</v>
      </c>
      <c r="X5" t="s">
        <v>112</v>
      </c>
      <c r="Y5" t="s">
        <v>1275</v>
      </c>
    </row>
    <row r="6" spans="1:25" x14ac:dyDescent="0.35">
      <c r="B6" t="s">
        <v>1200</v>
      </c>
      <c r="C6" t="s">
        <v>178</v>
      </c>
      <c r="D6" t="s">
        <v>24</v>
      </c>
      <c r="E6">
        <v>35</v>
      </c>
      <c r="F6" t="s">
        <v>39</v>
      </c>
      <c r="G6" t="s">
        <v>193</v>
      </c>
      <c r="H6" t="s">
        <v>40</v>
      </c>
      <c r="I6" t="s">
        <v>65</v>
      </c>
      <c r="J6" t="s">
        <v>18</v>
      </c>
      <c r="K6" t="s">
        <v>1201</v>
      </c>
      <c r="L6" t="s">
        <v>115</v>
      </c>
    </row>
    <row r="7" spans="1:25" x14ac:dyDescent="0.35">
      <c r="B7" t="s">
        <v>768</v>
      </c>
      <c r="C7" t="s">
        <v>178</v>
      </c>
      <c r="D7" t="s">
        <v>24</v>
      </c>
      <c r="E7">
        <v>37</v>
      </c>
      <c r="F7" t="s">
        <v>39</v>
      </c>
      <c r="G7" t="s">
        <v>329</v>
      </c>
      <c r="H7" t="s">
        <v>40</v>
      </c>
      <c r="I7" t="s">
        <v>31</v>
      </c>
      <c r="J7" t="s">
        <v>18</v>
      </c>
      <c r="K7" t="s">
        <v>769</v>
      </c>
      <c r="L7" t="s">
        <v>116</v>
      </c>
      <c r="O7" t="str">
        <f>IF($A$1=1,B5,"")</f>
        <v/>
      </c>
      <c r="P7" t="str">
        <f t="shared" ref="P7:Y7" si="0">IF($A$1=1,C5,"")</f>
        <v/>
      </c>
      <c r="Q7" t="str">
        <f t="shared" si="0"/>
        <v/>
      </c>
      <c r="R7" t="str">
        <f t="shared" si="0"/>
        <v/>
      </c>
      <c r="S7" t="str">
        <f t="shared" si="0"/>
        <v/>
      </c>
      <c r="T7" t="str">
        <f t="shared" si="0"/>
        <v/>
      </c>
      <c r="U7" t="str">
        <f t="shared" si="0"/>
        <v/>
      </c>
      <c r="V7" t="str">
        <f t="shared" si="0"/>
        <v/>
      </c>
      <c r="W7" t="str">
        <f t="shared" si="0"/>
        <v/>
      </c>
      <c r="X7" t="str">
        <f t="shared" si="0"/>
        <v/>
      </c>
      <c r="Y7" t="str">
        <f t="shared" si="0"/>
        <v/>
      </c>
    </row>
    <row r="8" spans="1:25" x14ac:dyDescent="0.35">
      <c r="B8" t="s">
        <v>795</v>
      </c>
      <c r="C8" t="s">
        <v>182</v>
      </c>
      <c r="D8" t="s">
        <v>13</v>
      </c>
      <c r="E8">
        <v>37</v>
      </c>
      <c r="F8" t="s">
        <v>15</v>
      </c>
      <c r="G8" t="s">
        <v>796</v>
      </c>
      <c r="H8" t="s">
        <v>40</v>
      </c>
      <c r="I8" t="s">
        <v>68</v>
      </c>
      <c r="J8" t="s">
        <v>18</v>
      </c>
      <c r="K8" t="s">
        <v>797</v>
      </c>
      <c r="L8" t="s">
        <v>116</v>
      </c>
      <c r="O8" t="str">
        <f>IFERROR(VLOOKUP('Dashboard 1'!$H$4,Range_search,MATCH(O7,$B$5:$L$5,0),0),"")</f>
        <v/>
      </c>
      <c r="P8" t="str">
        <f>IFERROR(VLOOKUP('Dashboard 1'!$H$4,Range_search,MATCH(P7,$B$5:$L$5,0),0),"")</f>
        <v/>
      </c>
      <c r="Q8" t="str">
        <f>IFERROR(VLOOKUP('Dashboard 1'!$H$4,Range_search,MATCH(Q7,$B$5:$L$5,0),0),"")</f>
        <v/>
      </c>
      <c r="R8" t="str">
        <f>IFERROR(VLOOKUP('Dashboard 1'!$H$4,Range_search,MATCH(R7,$B$5:$L$5,0),0),"")</f>
        <v/>
      </c>
      <c r="S8" t="str">
        <f>IFERROR(VLOOKUP('Dashboard 1'!$H$4,Range_search,MATCH(S7,$B$5:$L$5,0),0),"")</f>
        <v/>
      </c>
      <c r="T8" t="str">
        <f>IFERROR(VLOOKUP('Dashboard 1'!$H$4,Range_search,MATCH(T7,$B$5:$L$5,0),0),"")</f>
        <v/>
      </c>
      <c r="U8" t="str">
        <f>IFERROR(VLOOKUP('Dashboard 1'!$H$4,Range_search,MATCH(U7,$B$5:$L$5,0),0),"")</f>
        <v/>
      </c>
      <c r="V8" t="str">
        <f>IFERROR(VLOOKUP('Dashboard 1'!$H$4,Range_search,MATCH(V7,$B$5:$L$5,0),0),"")</f>
        <v/>
      </c>
      <c r="W8" t="str">
        <f>IFERROR(VLOOKUP('Dashboard 1'!$H$4,Range_search,MATCH(W7,$B$5:$L$5,0),0),"")</f>
        <v/>
      </c>
      <c r="X8" t="str">
        <f>IFERROR(VLOOKUP('Dashboard 1'!$H$4,Range_search,MATCH(X7,$B$5:$L$5,0),0),"")</f>
        <v/>
      </c>
      <c r="Y8" t="str">
        <f>IFERROR(VLOOKUP('Dashboard 1'!$H$4,Range_search,MATCH(Y7,$B$5:$L$5,0),0),"")</f>
        <v/>
      </c>
    </row>
    <row r="9" spans="1:25" x14ac:dyDescent="0.35">
      <c r="B9" t="s">
        <v>911</v>
      </c>
      <c r="C9" t="s">
        <v>178</v>
      </c>
      <c r="D9" t="s">
        <v>24</v>
      </c>
      <c r="E9">
        <v>43</v>
      </c>
      <c r="F9" t="s">
        <v>15</v>
      </c>
      <c r="G9" t="s">
        <v>796</v>
      </c>
      <c r="H9" t="s">
        <v>28</v>
      </c>
      <c r="I9" t="s">
        <v>68</v>
      </c>
      <c r="J9" t="s">
        <v>18</v>
      </c>
      <c r="K9" t="s">
        <v>912</v>
      </c>
      <c r="L9" t="s">
        <v>117</v>
      </c>
    </row>
    <row r="10" spans="1:25" x14ac:dyDescent="0.35">
      <c r="B10" t="s">
        <v>736</v>
      </c>
      <c r="C10" t="s">
        <v>178</v>
      </c>
      <c r="D10" t="s">
        <v>24</v>
      </c>
      <c r="E10">
        <v>40</v>
      </c>
      <c r="F10" t="s">
        <v>39</v>
      </c>
      <c r="G10" t="s">
        <v>207</v>
      </c>
      <c r="H10" t="s">
        <v>40</v>
      </c>
      <c r="I10" t="s">
        <v>68</v>
      </c>
      <c r="J10" t="s">
        <v>18</v>
      </c>
      <c r="K10" t="s">
        <v>737</v>
      </c>
      <c r="L10" t="s">
        <v>116</v>
      </c>
      <c r="O10" t="str">
        <f>IF(O7="","yes",1)</f>
        <v>yes</v>
      </c>
    </row>
    <row r="11" spans="1:25" x14ac:dyDescent="0.35">
      <c r="B11" t="s">
        <v>328</v>
      </c>
      <c r="C11" t="s">
        <v>114</v>
      </c>
      <c r="D11" t="s">
        <v>13</v>
      </c>
      <c r="E11">
        <v>57</v>
      </c>
      <c r="F11" t="s">
        <v>39</v>
      </c>
      <c r="G11" t="s">
        <v>329</v>
      </c>
      <c r="H11" t="s">
        <v>28</v>
      </c>
      <c r="I11" t="s">
        <v>68</v>
      </c>
      <c r="J11" t="s">
        <v>18</v>
      </c>
      <c r="K11" t="s">
        <v>330</v>
      </c>
      <c r="L11" t="s">
        <v>118</v>
      </c>
      <c r="O11" t="str">
        <f>IF(O8="","yes",1)</f>
        <v>yes</v>
      </c>
    </row>
    <row r="12" spans="1:25" x14ac:dyDescent="0.35">
      <c r="B12" t="s">
        <v>597</v>
      </c>
      <c r="C12" t="s">
        <v>182</v>
      </c>
      <c r="D12" t="s">
        <v>13</v>
      </c>
      <c r="E12">
        <v>54</v>
      </c>
      <c r="F12" t="s">
        <v>39</v>
      </c>
      <c r="G12" t="s">
        <v>207</v>
      </c>
      <c r="H12" t="s">
        <v>40</v>
      </c>
      <c r="I12" t="s">
        <v>31</v>
      </c>
      <c r="J12" t="s">
        <v>18</v>
      </c>
      <c r="K12" t="s">
        <v>598</v>
      </c>
      <c r="L12" t="s">
        <v>119</v>
      </c>
      <c r="O12" t="b">
        <f>O10=O11</f>
        <v>1</v>
      </c>
    </row>
    <row r="13" spans="1:25" x14ac:dyDescent="0.35">
      <c r="B13" t="s">
        <v>434</v>
      </c>
      <c r="C13" t="s">
        <v>114</v>
      </c>
      <c r="D13" t="s">
        <v>13</v>
      </c>
      <c r="E13">
        <v>47</v>
      </c>
      <c r="F13" t="s">
        <v>39</v>
      </c>
      <c r="G13" t="s">
        <v>207</v>
      </c>
      <c r="H13" t="s">
        <v>28</v>
      </c>
      <c r="I13" t="s">
        <v>68</v>
      </c>
      <c r="J13" t="s">
        <v>18</v>
      </c>
      <c r="K13" t="s">
        <v>435</v>
      </c>
      <c r="L13" t="s">
        <v>120</v>
      </c>
      <c r="O13" t="str">
        <f>IF(O12=TRUE,"","Employee not found, retry")</f>
        <v/>
      </c>
    </row>
    <row r="14" spans="1:25" x14ac:dyDescent="0.35">
      <c r="B14" t="s">
        <v>563</v>
      </c>
      <c r="C14" t="s">
        <v>178</v>
      </c>
      <c r="D14" t="s">
        <v>24</v>
      </c>
      <c r="E14">
        <v>60</v>
      </c>
      <c r="F14" t="s">
        <v>39</v>
      </c>
      <c r="G14" t="s">
        <v>207</v>
      </c>
      <c r="H14" t="s">
        <v>28</v>
      </c>
      <c r="I14" t="s">
        <v>19</v>
      </c>
      <c r="J14" t="s">
        <v>30</v>
      </c>
      <c r="K14" t="s">
        <v>564</v>
      </c>
      <c r="L14" t="s">
        <v>119</v>
      </c>
    </row>
    <row r="15" spans="1:25" x14ac:dyDescent="0.35">
      <c r="B15" t="s">
        <v>1235</v>
      </c>
      <c r="C15" t="s">
        <v>210</v>
      </c>
      <c r="D15" t="s">
        <v>24</v>
      </c>
      <c r="E15">
        <v>57</v>
      </c>
      <c r="F15" t="s">
        <v>39</v>
      </c>
      <c r="G15" t="s">
        <v>196</v>
      </c>
      <c r="H15" t="s">
        <v>28</v>
      </c>
      <c r="I15" t="s">
        <v>65</v>
      </c>
      <c r="J15" t="s">
        <v>18</v>
      </c>
      <c r="K15" t="s">
        <v>1236</v>
      </c>
      <c r="L15" t="s">
        <v>121</v>
      </c>
    </row>
    <row r="16" spans="1:25" x14ac:dyDescent="0.35">
      <c r="B16" t="s">
        <v>592</v>
      </c>
      <c r="C16" t="s">
        <v>178</v>
      </c>
      <c r="D16" t="s">
        <v>24</v>
      </c>
      <c r="E16">
        <v>42</v>
      </c>
      <c r="F16" t="s">
        <v>39</v>
      </c>
      <c r="G16" t="s">
        <v>329</v>
      </c>
      <c r="H16" t="s">
        <v>40</v>
      </c>
      <c r="I16" t="s">
        <v>65</v>
      </c>
      <c r="J16" t="s">
        <v>18</v>
      </c>
      <c r="K16" t="s">
        <v>593</v>
      </c>
      <c r="L16" t="s">
        <v>119</v>
      </c>
    </row>
    <row r="17" spans="2:12" x14ac:dyDescent="0.35">
      <c r="B17" t="s">
        <v>803</v>
      </c>
      <c r="C17" t="s">
        <v>178</v>
      </c>
      <c r="D17" t="s">
        <v>24</v>
      </c>
      <c r="E17">
        <v>36</v>
      </c>
      <c r="F17" t="s">
        <v>39</v>
      </c>
      <c r="G17" t="s">
        <v>329</v>
      </c>
      <c r="H17" t="s">
        <v>40</v>
      </c>
      <c r="I17" t="s">
        <v>68</v>
      </c>
      <c r="J17" t="s">
        <v>18</v>
      </c>
      <c r="K17" t="s">
        <v>804</v>
      </c>
      <c r="L17" t="s">
        <v>116</v>
      </c>
    </row>
    <row r="18" spans="2:12" x14ac:dyDescent="0.35">
      <c r="B18" t="s">
        <v>448</v>
      </c>
      <c r="C18" t="s">
        <v>114</v>
      </c>
      <c r="D18" t="s">
        <v>13</v>
      </c>
      <c r="E18">
        <v>47</v>
      </c>
      <c r="F18" t="s">
        <v>39</v>
      </c>
      <c r="G18" t="s">
        <v>207</v>
      </c>
      <c r="H18" t="s">
        <v>28</v>
      </c>
      <c r="I18" t="s">
        <v>68</v>
      </c>
      <c r="J18" t="s">
        <v>18</v>
      </c>
      <c r="K18" t="s">
        <v>449</v>
      </c>
      <c r="L18" t="s">
        <v>120</v>
      </c>
    </row>
    <row r="19" spans="2:12" x14ac:dyDescent="0.35">
      <c r="B19" t="s">
        <v>1218</v>
      </c>
      <c r="C19" t="s">
        <v>178</v>
      </c>
      <c r="D19" t="s">
        <v>24</v>
      </c>
      <c r="E19">
        <v>40</v>
      </c>
      <c r="F19" t="s">
        <v>39</v>
      </c>
      <c r="G19" t="s">
        <v>193</v>
      </c>
      <c r="H19" t="s">
        <v>40</v>
      </c>
      <c r="I19" t="s">
        <v>65</v>
      </c>
      <c r="J19" t="s">
        <v>18</v>
      </c>
      <c r="K19" t="s">
        <v>1219</v>
      </c>
      <c r="L19" t="s">
        <v>115</v>
      </c>
    </row>
    <row r="20" spans="2:12" x14ac:dyDescent="0.35">
      <c r="B20" t="s">
        <v>1160</v>
      </c>
      <c r="C20" t="s">
        <v>178</v>
      </c>
      <c r="D20" t="s">
        <v>24</v>
      </c>
      <c r="E20">
        <v>36</v>
      </c>
      <c r="F20" t="s">
        <v>39</v>
      </c>
      <c r="G20" t="s">
        <v>179</v>
      </c>
      <c r="H20" t="s">
        <v>28</v>
      </c>
      <c r="I20" t="s">
        <v>65</v>
      </c>
      <c r="J20" t="s">
        <v>18</v>
      </c>
      <c r="K20" t="s">
        <v>1161</v>
      </c>
      <c r="L20" t="s">
        <v>115</v>
      </c>
    </row>
    <row r="21" spans="2:12" x14ac:dyDescent="0.35">
      <c r="B21" t="s">
        <v>959</v>
      </c>
      <c r="C21" t="s">
        <v>210</v>
      </c>
      <c r="D21" t="s">
        <v>24</v>
      </c>
      <c r="E21">
        <v>41</v>
      </c>
      <c r="F21" t="s">
        <v>39</v>
      </c>
      <c r="G21" t="s">
        <v>960</v>
      </c>
      <c r="H21" t="s">
        <v>28</v>
      </c>
      <c r="I21" t="s">
        <v>65</v>
      </c>
      <c r="J21" t="s">
        <v>18</v>
      </c>
      <c r="K21" t="s">
        <v>961</v>
      </c>
      <c r="L21" t="s">
        <v>117</v>
      </c>
    </row>
    <row r="22" spans="2:12" x14ac:dyDescent="0.35">
      <c r="B22" t="s">
        <v>863</v>
      </c>
      <c r="C22" t="s">
        <v>178</v>
      </c>
      <c r="D22" t="s">
        <v>24</v>
      </c>
      <c r="E22">
        <v>37</v>
      </c>
      <c r="F22" t="s">
        <v>39</v>
      </c>
      <c r="G22" t="s">
        <v>268</v>
      </c>
      <c r="H22" t="s">
        <v>40</v>
      </c>
      <c r="I22" t="s">
        <v>68</v>
      </c>
      <c r="J22" t="s">
        <v>18</v>
      </c>
      <c r="K22" t="s">
        <v>864</v>
      </c>
      <c r="L22" t="s">
        <v>116</v>
      </c>
    </row>
    <row r="23" spans="2:12" x14ac:dyDescent="0.35">
      <c r="B23" t="s">
        <v>815</v>
      </c>
      <c r="C23" t="s">
        <v>178</v>
      </c>
      <c r="D23" t="s">
        <v>24</v>
      </c>
      <c r="E23">
        <v>35</v>
      </c>
      <c r="F23" t="s">
        <v>39</v>
      </c>
      <c r="G23" t="s">
        <v>196</v>
      </c>
      <c r="H23" t="s">
        <v>40</v>
      </c>
      <c r="I23" t="s">
        <v>65</v>
      </c>
      <c r="J23" t="s">
        <v>18</v>
      </c>
      <c r="K23" t="s">
        <v>816</v>
      </c>
      <c r="L23" t="s">
        <v>116</v>
      </c>
    </row>
    <row r="24" spans="2:12" x14ac:dyDescent="0.35">
      <c r="B24" t="s">
        <v>1027</v>
      </c>
      <c r="C24" t="s">
        <v>182</v>
      </c>
      <c r="D24" t="s">
        <v>13</v>
      </c>
      <c r="E24">
        <v>44</v>
      </c>
      <c r="F24" t="s">
        <v>15</v>
      </c>
      <c r="G24" t="s">
        <v>186</v>
      </c>
      <c r="H24" t="s">
        <v>16</v>
      </c>
      <c r="I24" t="s">
        <v>65</v>
      </c>
      <c r="J24" t="s">
        <v>18</v>
      </c>
      <c r="K24" t="s">
        <v>1028</v>
      </c>
      <c r="L24" t="s">
        <v>117</v>
      </c>
    </row>
    <row r="25" spans="2:12" x14ac:dyDescent="0.35">
      <c r="B25" t="s">
        <v>401</v>
      </c>
      <c r="C25" t="s">
        <v>178</v>
      </c>
      <c r="D25" t="s">
        <v>24</v>
      </c>
      <c r="E25">
        <v>49</v>
      </c>
      <c r="F25" t="s">
        <v>39</v>
      </c>
      <c r="G25" t="s">
        <v>183</v>
      </c>
      <c r="H25" t="s">
        <v>28</v>
      </c>
      <c r="I25" t="s">
        <v>65</v>
      </c>
      <c r="J25" t="s">
        <v>18</v>
      </c>
      <c r="K25" t="s">
        <v>402</v>
      </c>
      <c r="L25" t="s">
        <v>122</v>
      </c>
    </row>
    <row r="26" spans="2:12" x14ac:dyDescent="0.35">
      <c r="B26" t="s">
        <v>743</v>
      </c>
      <c r="C26" t="s">
        <v>178</v>
      </c>
      <c r="D26" t="s">
        <v>24</v>
      </c>
      <c r="E26">
        <v>56</v>
      </c>
      <c r="F26" t="s">
        <v>27</v>
      </c>
      <c r="G26" t="s">
        <v>186</v>
      </c>
      <c r="H26" t="s">
        <v>28</v>
      </c>
      <c r="I26" t="s">
        <v>68</v>
      </c>
      <c r="J26" t="s">
        <v>18</v>
      </c>
      <c r="K26" t="s">
        <v>744</v>
      </c>
      <c r="L26" t="s">
        <v>116</v>
      </c>
    </row>
    <row r="27" spans="2:12" x14ac:dyDescent="0.35">
      <c r="B27" t="s">
        <v>616</v>
      </c>
      <c r="C27" t="s">
        <v>178</v>
      </c>
      <c r="D27" t="s">
        <v>24</v>
      </c>
      <c r="E27">
        <v>47</v>
      </c>
      <c r="F27" t="s">
        <v>27</v>
      </c>
      <c r="G27" t="s">
        <v>186</v>
      </c>
      <c r="H27" t="s">
        <v>28</v>
      </c>
      <c r="I27" t="s">
        <v>65</v>
      </c>
      <c r="J27" t="s">
        <v>18</v>
      </c>
      <c r="K27" t="s">
        <v>617</v>
      </c>
      <c r="L27" t="s">
        <v>123</v>
      </c>
    </row>
    <row r="28" spans="2:12" x14ac:dyDescent="0.35">
      <c r="B28" t="s">
        <v>884</v>
      </c>
      <c r="C28" t="s">
        <v>178</v>
      </c>
      <c r="D28" t="s">
        <v>24</v>
      </c>
      <c r="E28">
        <v>40</v>
      </c>
      <c r="F28" t="s">
        <v>39</v>
      </c>
      <c r="G28" t="s">
        <v>207</v>
      </c>
      <c r="H28" t="s">
        <v>40</v>
      </c>
      <c r="I28" t="s">
        <v>68</v>
      </c>
      <c r="J28" t="s">
        <v>18</v>
      </c>
      <c r="K28" t="s">
        <v>885</v>
      </c>
      <c r="L28" t="s">
        <v>117</v>
      </c>
    </row>
    <row r="29" spans="2:12" x14ac:dyDescent="0.35">
      <c r="B29" t="s">
        <v>1093</v>
      </c>
      <c r="C29" t="s">
        <v>178</v>
      </c>
      <c r="D29" t="s">
        <v>24</v>
      </c>
      <c r="E29">
        <v>36</v>
      </c>
      <c r="F29" t="s">
        <v>39</v>
      </c>
      <c r="G29" t="s">
        <v>207</v>
      </c>
      <c r="H29" t="s">
        <v>40</v>
      </c>
      <c r="I29" t="s">
        <v>53</v>
      </c>
      <c r="J29" t="s">
        <v>18</v>
      </c>
      <c r="K29" t="s">
        <v>1094</v>
      </c>
      <c r="L29" t="s">
        <v>115</v>
      </c>
    </row>
    <row r="30" spans="2:12" x14ac:dyDescent="0.35">
      <c r="B30" t="s">
        <v>1119</v>
      </c>
      <c r="C30" t="s">
        <v>178</v>
      </c>
      <c r="D30" t="s">
        <v>24</v>
      </c>
      <c r="E30">
        <v>38</v>
      </c>
      <c r="F30" t="s">
        <v>39</v>
      </c>
      <c r="G30" t="s">
        <v>193</v>
      </c>
      <c r="H30" t="s">
        <v>40</v>
      </c>
      <c r="I30" t="s">
        <v>65</v>
      </c>
      <c r="J30" t="s">
        <v>18</v>
      </c>
      <c r="K30" t="s">
        <v>1120</v>
      </c>
      <c r="L30" t="s">
        <v>115</v>
      </c>
    </row>
    <row r="31" spans="2:12" x14ac:dyDescent="0.35">
      <c r="B31" t="s">
        <v>320</v>
      </c>
      <c r="C31" t="s">
        <v>178</v>
      </c>
      <c r="D31" t="s">
        <v>24</v>
      </c>
      <c r="E31">
        <v>54</v>
      </c>
      <c r="F31" t="s">
        <v>39</v>
      </c>
      <c r="G31" t="s">
        <v>186</v>
      </c>
      <c r="H31" t="s">
        <v>28</v>
      </c>
      <c r="I31" t="s">
        <v>68</v>
      </c>
      <c r="J31" t="s">
        <v>18</v>
      </c>
      <c r="K31" t="s">
        <v>321</v>
      </c>
      <c r="L31" t="s">
        <v>124</v>
      </c>
    </row>
    <row r="32" spans="2:12" x14ac:dyDescent="0.35">
      <c r="B32" t="s">
        <v>393</v>
      </c>
      <c r="C32" t="s">
        <v>178</v>
      </c>
      <c r="D32" t="s">
        <v>24</v>
      </c>
      <c r="E32">
        <v>52</v>
      </c>
      <c r="F32" t="s">
        <v>27</v>
      </c>
      <c r="G32" t="s">
        <v>186</v>
      </c>
      <c r="H32" t="s">
        <v>28</v>
      </c>
      <c r="I32" t="s">
        <v>65</v>
      </c>
      <c r="J32" t="s">
        <v>18</v>
      </c>
      <c r="K32" t="s">
        <v>394</v>
      </c>
      <c r="L32" t="s">
        <v>122</v>
      </c>
    </row>
    <row r="33" spans="2:12" x14ac:dyDescent="0.35">
      <c r="B33" t="s">
        <v>456</v>
      </c>
      <c r="C33" t="s">
        <v>182</v>
      </c>
      <c r="D33" t="s">
        <v>13</v>
      </c>
      <c r="E33">
        <v>47</v>
      </c>
      <c r="F33" t="s">
        <v>39</v>
      </c>
      <c r="G33" t="s">
        <v>193</v>
      </c>
      <c r="H33" t="s">
        <v>28</v>
      </c>
      <c r="I33" t="s">
        <v>68</v>
      </c>
      <c r="J33" t="s">
        <v>18</v>
      </c>
      <c r="K33" t="s">
        <v>457</v>
      </c>
      <c r="L33" t="s">
        <v>125</v>
      </c>
    </row>
    <row r="34" spans="2:12" x14ac:dyDescent="0.35">
      <c r="B34" t="s">
        <v>371</v>
      </c>
      <c r="C34" t="s">
        <v>182</v>
      </c>
      <c r="D34" t="s">
        <v>13</v>
      </c>
      <c r="E34">
        <v>51</v>
      </c>
      <c r="F34" t="s">
        <v>15</v>
      </c>
      <c r="G34" t="s">
        <v>183</v>
      </c>
      <c r="H34" t="s">
        <v>28</v>
      </c>
      <c r="I34" t="s">
        <v>42</v>
      </c>
      <c r="J34" t="s">
        <v>18</v>
      </c>
      <c r="K34" t="s">
        <v>372</v>
      </c>
      <c r="L34" t="s">
        <v>126</v>
      </c>
    </row>
    <row r="35" spans="2:12" x14ac:dyDescent="0.35">
      <c r="B35" t="s">
        <v>1004</v>
      </c>
      <c r="C35" t="s">
        <v>182</v>
      </c>
      <c r="D35" t="s">
        <v>13</v>
      </c>
      <c r="E35">
        <v>43</v>
      </c>
      <c r="F35" t="s">
        <v>27</v>
      </c>
      <c r="G35" t="s">
        <v>186</v>
      </c>
      <c r="H35" t="s">
        <v>40</v>
      </c>
      <c r="I35" t="s">
        <v>65</v>
      </c>
      <c r="J35" t="s">
        <v>18</v>
      </c>
      <c r="K35" t="s">
        <v>1005</v>
      </c>
      <c r="L35" t="s">
        <v>117</v>
      </c>
    </row>
    <row r="36" spans="2:12" x14ac:dyDescent="0.35">
      <c r="B36" t="s">
        <v>1041</v>
      </c>
      <c r="C36" t="s">
        <v>178</v>
      </c>
      <c r="D36" t="s">
        <v>24</v>
      </c>
      <c r="E36">
        <v>41</v>
      </c>
      <c r="F36" t="s">
        <v>39</v>
      </c>
      <c r="G36" t="s">
        <v>183</v>
      </c>
      <c r="H36" t="s">
        <v>40</v>
      </c>
      <c r="I36" t="s">
        <v>53</v>
      </c>
      <c r="J36" t="s">
        <v>18</v>
      </c>
      <c r="K36" t="s">
        <v>1042</v>
      </c>
      <c r="L36" t="s">
        <v>117</v>
      </c>
    </row>
    <row r="37" spans="2:12" x14ac:dyDescent="0.35">
      <c r="B37" t="s">
        <v>584</v>
      </c>
      <c r="C37" t="s">
        <v>178</v>
      </c>
      <c r="D37" t="s">
        <v>24</v>
      </c>
      <c r="E37">
        <v>49</v>
      </c>
      <c r="F37" t="s">
        <v>39</v>
      </c>
      <c r="G37" t="s">
        <v>193</v>
      </c>
      <c r="H37" t="s">
        <v>28</v>
      </c>
      <c r="I37" t="s">
        <v>57</v>
      </c>
      <c r="J37" t="s">
        <v>18</v>
      </c>
      <c r="K37" t="s">
        <v>585</v>
      </c>
      <c r="L37" t="s">
        <v>119</v>
      </c>
    </row>
    <row r="38" spans="2:12" x14ac:dyDescent="0.35">
      <c r="B38" t="s">
        <v>749</v>
      </c>
      <c r="C38" t="s">
        <v>178</v>
      </c>
      <c r="D38" t="s">
        <v>24</v>
      </c>
      <c r="E38">
        <v>39</v>
      </c>
      <c r="F38" t="s">
        <v>39</v>
      </c>
      <c r="G38" t="s">
        <v>279</v>
      </c>
      <c r="H38" t="s">
        <v>28</v>
      </c>
      <c r="I38" t="s">
        <v>68</v>
      </c>
      <c r="J38" t="s">
        <v>30</v>
      </c>
      <c r="K38" t="s">
        <v>750</v>
      </c>
      <c r="L38" t="s">
        <v>116</v>
      </c>
    </row>
    <row r="39" spans="2:12" x14ac:dyDescent="0.35">
      <c r="B39" t="s">
        <v>991</v>
      </c>
      <c r="C39" t="s">
        <v>178</v>
      </c>
      <c r="D39" t="s">
        <v>24</v>
      </c>
      <c r="E39">
        <v>43</v>
      </c>
      <c r="F39" t="s">
        <v>15</v>
      </c>
      <c r="G39" t="s">
        <v>183</v>
      </c>
      <c r="H39" t="s">
        <v>28</v>
      </c>
      <c r="I39" t="s">
        <v>65</v>
      </c>
      <c r="J39" t="s">
        <v>18</v>
      </c>
      <c r="K39" t="s">
        <v>992</v>
      </c>
      <c r="L39" t="s">
        <v>117</v>
      </c>
    </row>
    <row r="40" spans="2:12" x14ac:dyDescent="0.35">
      <c r="B40" t="s">
        <v>526</v>
      </c>
      <c r="C40" t="s">
        <v>523</v>
      </c>
      <c r="D40" t="s">
        <v>13</v>
      </c>
      <c r="E40">
        <v>51</v>
      </c>
      <c r="F40" t="s">
        <v>39</v>
      </c>
      <c r="G40" t="s">
        <v>207</v>
      </c>
      <c r="H40" t="s">
        <v>28</v>
      </c>
      <c r="I40" t="s">
        <v>68</v>
      </c>
      <c r="J40" t="s">
        <v>18</v>
      </c>
      <c r="K40" t="s">
        <v>527</v>
      </c>
      <c r="L40" t="s">
        <v>127</v>
      </c>
    </row>
    <row r="41" spans="2:12" x14ac:dyDescent="0.35">
      <c r="B41" t="s">
        <v>877</v>
      </c>
      <c r="C41" t="s">
        <v>178</v>
      </c>
      <c r="D41" t="s">
        <v>24</v>
      </c>
      <c r="E41">
        <v>39</v>
      </c>
      <c r="F41" t="s">
        <v>39</v>
      </c>
      <c r="G41" t="s">
        <v>268</v>
      </c>
      <c r="H41" t="s">
        <v>28</v>
      </c>
      <c r="I41" t="s">
        <v>68</v>
      </c>
      <c r="J41" t="s">
        <v>18</v>
      </c>
      <c r="K41" t="s">
        <v>878</v>
      </c>
      <c r="L41" t="s">
        <v>116</v>
      </c>
    </row>
    <row r="42" spans="2:12" x14ac:dyDescent="0.35">
      <c r="B42" t="s">
        <v>544</v>
      </c>
      <c r="C42" t="s">
        <v>178</v>
      </c>
      <c r="D42" t="s">
        <v>24</v>
      </c>
      <c r="E42">
        <v>41</v>
      </c>
      <c r="F42" t="s">
        <v>27</v>
      </c>
      <c r="G42" t="s">
        <v>186</v>
      </c>
      <c r="H42" t="s">
        <v>40</v>
      </c>
      <c r="I42" t="s">
        <v>68</v>
      </c>
      <c r="J42" t="s">
        <v>18</v>
      </c>
      <c r="K42" t="s">
        <v>545</v>
      </c>
      <c r="L42" t="s">
        <v>128</v>
      </c>
    </row>
    <row r="43" spans="2:12" x14ac:dyDescent="0.35">
      <c r="B43" t="s">
        <v>983</v>
      </c>
      <c r="C43" t="s">
        <v>178</v>
      </c>
      <c r="D43" t="s">
        <v>24</v>
      </c>
      <c r="E43">
        <v>40</v>
      </c>
      <c r="F43" t="s">
        <v>39</v>
      </c>
      <c r="G43" t="s">
        <v>179</v>
      </c>
      <c r="H43" t="s">
        <v>28</v>
      </c>
      <c r="I43" t="s">
        <v>65</v>
      </c>
      <c r="J43" t="s">
        <v>18</v>
      </c>
      <c r="K43" t="s">
        <v>984</v>
      </c>
      <c r="L43" t="s">
        <v>117</v>
      </c>
    </row>
    <row r="44" spans="2:12" x14ac:dyDescent="0.35">
      <c r="B44" t="s">
        <v>605</v>
      </c>
      <c r="C44" t="s">
        <v>178</v>
      </c>
      <c r="D44" t="s">
        <v>24</v>
      </c>
      <c r="E44">
        <v>53</v>
      </c>
      <c r="F44" t="s">
        <v>39</v>
      </c>
      <c r="G44" t="s">
        <v>268</v>
      </c>
      <c r="H44" t="s">
        <v>28</v>
      </c>
      <c r="I44" t="s">
        <v>61</v>
      </c>
      <c r="J44" t="s">
        <v>18</v>
      </c>
      <c r="K44" t="s">
        <v>606</v>
      </c>
      <c r="L44" t="s">
        <v>119</v>
      </c>
    </row>
    <row r="45" spans="2:12" x14ac:dyDescent="0.35">
      <c r="B45" t="s">
        <v>856</v>
      </c>
      <c r="C45" t="s">
        <v>178</v>
      </c>
      <c r="D45" t="s">
        <v>24</v>
      </c>
      <c r="E45">
        <v>45</v>
      </c>
      <c r="F45" t="s">
        <v>39</v>
      </c>
      <c r="G45" t="s">
        <v>637</v>
      </c>
      <c r="H45" t="s">
        <v>28</v>
      </c>
      <c r="I45" t="s">
        <v>68</v>
      </c>
      <c r="J45" t="s">
        <v>18</v>
      </c>
      <c r="K45" t="s">
        <v>857</v>
      </c>
      <c r="L45" t="s">
        <v>116</v>
      </c>
    </row>
    <row r="46" spans="2:12" x14ac:dyDescent="0.35">
      <c r="B46" t="s">
        <v>630</v>
      </c>
      <c r="C46" t="s">
        <v>178</v>
      </c>
      <c r="D46" t="s">
        <v>24</v>
      </c>
      <c r="E46">
        <v>52</v>
      </c>
      <c r="F46" t="s">
        <v>39</v>
      </c>
      <c r="G46" t="s">
        <v>329</v>
      </c>
      <c r="H46" t="s">
        <v>28</v>
      </c>
      <c r="I46" t="s">
        <v>65</v>
      </c>
      <c r="J46" t="s">
        <v>18</v>
      </c>
      <c r="K46" t="s">
        <v>631</v>
      </c>
      <c r="L46" t="s">
        <v>129</v>
      </c>
    </row>
    <row r="47" spans="2:12" x14ac:dyDescent="0.35">
      <c r="B47" t="s">
        <v>1134</v>
      </c>
      <c r="C47" t="s">
        <v>178</v>
      </c>
      <c r="D47" t="s">
        <v>24</v>
      </c>
      <c r="E47">
        <v>69</v>
      </c>
      <c r="F47" t="s">
        <v>39</v>
      </c>
      <c r="G47" t="s">
        <v>193</v>
      </c>
      <c r="H47" t="s">
        <v>28</v>
      </c>
      <c r="I47" t="s">
        <v>65</v>
      </c>
      <c r="J47" t="s">
        <v>18</v>
      </c>
      <c r="K47" t="s">
        <v>1135</v>
      </c>
      <c r="L47" t="s">
        <v>115</v>
      </c>
    </row>
    <row r="48" spans="2:12" x14ac:dyDescent="0.35">
      <c r="B48" t="s">
        <v>289</v>
      </c>
      <c r="C48" t="s">
        <v>178</v>
      </c>
      <c r="D48" t="s">
        <v>13</v>
      </c>
      <c r="E48">
        <v>45</v>
      </c>
      <c r="F48" t="s">
        <v>15</v>
      </c>
      <c r="G48" t="s">
        <v>290</v>
      </c>
      <c r="H48" t="s">
        <v>28</v>
      </c>
      <c r="I48" t="s">
        <v>68</v>
      </c>
      <c r="J48" t="s">
        <v>18</v>
      </c>
      <c r="K48" t="s">
        <v>291</v>
      </c>
      <c r="L48" t="s">
        <v>140</v>
      </c>
    </row>
    <row r="49" spans="2:12" x14ac:dyDescent="0.35">
      <c r="B49" t="s">
        <v>421</v>
      </c>
      <c r="C49" t="s">
        <v>178</v>
      </c>
      <c r="D49" t="s">
        <v>24</v>
      </c>
      <c r="E49">
        <v>49</v>
      </c>
      <c r="F49" t="s">
        <v>39</v>
      </c>
      <c r="G49" t="s">
        <v>183</v>
      </c>
      <c r="H49" t="s">
        <v>28</v>
      </c>
      <c r="I49" t="s">
        <v>65</v>
      </c>
      <c r="J49" t="s">
        <v>18</v>
      </c>
      <c r="K49" t="s">
        <v>422</v>
      </c>
      <c r="L49" t="s">
        <v>130</v>
      </c>
    </row>
    <row r="50" spans="2:12" x14ac:dyDescent="0.35">
      <c r="B50" t="s">
        <v>787</v>
      </c>
      <c r="C50" t="s">
        <v>178</v>
      </c>
      <c r="D50" t="s">
        <v>24</v>
      </c>
      <c r="E50">
        <v>39</v>
      </c>
      <c r="F50" t="s">
        <v>39</v>
      </c>
      <c r="G50" t="s">
        <v>279</v>
      </c>
      <c r="H50" t="s">
        <v>28</v>
      </c>
      <c r="I50" t="s">
        <v>68</v>
      </c>
      <c r="J50" t="s">
        <v>18</v>
      </c>
      <c r="K50" t="s">
        <v>788</v>
      </c>
      <c r="L50" t="s">
        <v>116</v>
      </c>
    </row>
    <row r="51" spans="2:12" x14ac:dyDescent="0.35">
      <c r="B51" t="s">
        <v>480</v>
      </c>
      <c r="C51" t="s">
        <v>182</v>
      </c>
      <c r="D51" t="s">
        <v>13</v>
      </c>
      <c r="E51">
        <v>51</v>
      </c>
      <c r="F51" t="s">
        <v>27</v>
      </c>
      <c r="G51" t="s">
        <v>186</v>
      </c>
      <c r="H51" t="s">
        <v>28</v>
      </c>
      <c r="I51" t="s">
        <v>42</v>
      </c>
      <c r="J51" t="s">
        <v>30</v>
      </c>
      <c r="K51" t="s">
        <v>481</v>
      </c>
      <c r="L51" t="s">
        <v>125</v>
      </c>
    </row>
    <row r="52" spans="2:12" x14ac:dyDescent="0.35">
      <c r="B52" t="s">
        <v>337</v>
      </c>
      <c r="C52" t="s">
        <v>182</v>
      </c>
      <c r="D52" t="s">
        <v>13</v>
      </c>
      <c r="E52">
        <v>54</v>
      </c>
      <c r="F52" t="s">
        <v>39</v>
      </c>
      <c r="G52" t="s">
        <v>193</v>
      </c>
      <c r="H52" t="s">
        <v>28</v>
      </c>
      <c r="I52" t="s">
        <v>68</v>
      </c>
      <c r="J52" t="s">
        <v>18</v>
      </c>
      <c r="K52" t="s">
        <v>338</v>
      </c>
      <c r="L52" t="s">
        <v>118</v>
      </c>
    </row>
    <row r="53" spans="2:12" x14ac:dyDescent="0.35">
      <c r="B53" t="s">
        <v>385</v>
      </c>
      <c r="C53" t="s">
        <v>178</v>
      </c>
      <c r="D53" t="s">
        <v>24</v>
      </c>
      <c r="E53">
        <v>53</v>
      </c>
      <c r="F53" t="s">
        <v>27</v>
      </c>
      <c r="G53" t="s">
        <v>186</v>
      </c>
      <c r="H53" t="s">
        <v>28</v>
      </c>
      <c r="I53" t="s">
        <v>19</v>
      </c>
      <c r="J53" t="s">
        <v>18</v>
      </c>
      <c r="K53" t="s">
        <v>386</v>
      </c>
      <c r="L53" t="s">
        <v>122</v>
      </c>
    </row>
    <row r="54" spans="2:12" x14ac:dyDescent="0.35">
      <c r="B54" t="s">
        <v>1183</v>
      </c>
      <c r="C54" t="s">
        <v>178</v>
      </c>
      <c r="D54" t="s">
        <v>24</v>
      </c>
      <c r="E54">
        <v>37</v>
      </c>
      <c r="F54" t="s">
        <v>15</v>
      </c>
      <c r="G54" t="s">
        <v>193</v>
      </c>
      <c r="H54" t="s">
        <v>40</v>
      </c>
      <c r="I54" t="s">
        <v>65</v>
      </c>
      <c r="J54" t="s">
        <v>18</v>
      </c>
      <c r="K54" t="s">
        <v>1184</v>
      </c>
      <c r="L54" t="s">
        <v>115</v>
      </c>
    </row>
    <row r="55" spans="2:12" x14ac:dyDescent="0.35">
      <c r="B55" t="s">
        <v>294</v>
      </c>
      <c r="C55" t="s">
        <v>178</v>
      </c>
      <c r="D55" t="s">
        <v>24</v>
      </c>
      <c r="E55">
        <v>46</v>
      </c>
      <c r="F55" t="s">
        <v>39</v>
      </c>
      <c r="G55" t="s">
        <v>290</v>
      </c>
      <c r="H55" t="s">
        <v>28</v>
      </c>
      <c r="I55" t="s">
        <v>68</v>
      </c>
      <c r="J55" t="s">
        <v>30</v>
      </c>
      <c r="K55" t="s">
        <v>295</v>
      </c>
      <c r="L55" t="s">
        <v>127</v>
      </c>
    </row>
    <row r="56" spans="2:12" x14ac:dyDescent="0.35">
      <c r="B56" t="s">
        <v>662</v>
      </c>
      <c r="C56" t="s">
        <v>182</v>
      </c>
      <c r="D56" t="s">
        <v>13</v>
      </c>
      <c r="E56">
        <v>42</v>
      </c>
      <c r="F56" t="s">
        <v>39</v>
      </c>
      <c r="G56" t="s">
        <v>193</v>
      </c>
      <c r="H56" t="s">
        <v>28</v>
      </c>
      <c r="I56" t="s">
        <v>68</v>
      </c>
      <c r="J56" t="s">
        <v>18</v>
      </c>
      <c r="K56" t="s">
        <v>663</v>
      </c>
      <c r="L56" t="s">
        <v>129</v>
      </c>
    </row>
    <row r="57" spans="2:12" x14ac:dyDescent="0.35">
      <c r="B57" t="s">
        <v>696</v>
      </c>
      <c r="C57" t="s">
        <v>178</v>
      </c>
      <c r="D57" t="s">
        <v>24</v>
      </c>
      <c r="E57">
        <v>38</v>
      </c>
      <c r="F57" t="s">
        <v>39</v>
      </c>
      <c r="G57" t="s">
        <v>52</v>
      </c>
      <c r="H57" t="s">
        <v>28</v>
      </c>
      <c r="I57" t="s">
        <v>68</v>
      </c>
      <c r="J57" t="s">
        <v>18</v>
      </c>
      <c r="K57" t="s">
        <v>697</v>
      </c>
      <c r="L57" t="s">
        <v>116</v>
      </c>
    </row>
    <row r="58" spans="2:12" x14ac:dyDescent="0.35">
      <c r="B58" t="s">
        <v>131</v>
      </c>
      <c r="C58" t="s">
        <v>178</v>
      </c>
      <c r="D58" t="s">
        <v>24</v>
      </c>
      <c r="E58">
        <v>47</v>
      </c>
      <c r="F58" t="s">
        <v>39</v>
      </c>
      <c r="G58" t="s">
        <v>207</v>
      </c>
      <c r="H58" t="s">
        <v>40</v>
      </c>
      <c r="I58" t="s">
        <v>53</v>
      </c>
      <c r="J58" t="s">
        <v>18</v>
      </c>
      <c r="K58" t="s">
        <v>729</v>
      </c>
      <c r="L58" t="s">
        <v>116</v>
      </c>
    </row>
    <row r="59" spans="2:12" x14ac:dyDescent="0.35">
      <c r="B59" t="s">
        <v>132</v>
      </c>
      <c r="C59" t="s">
        <v>178</v>
      </c>
      <c r="D59" t="s">
        <v>24</v>
      </c>
      <c r="E59">
        <v>49</v>
      </c>
      <c r="F59" t="s">
        <v>39</v>
      </c>
      <c r="G59" t="s">
        <v>207</v>
      </c>
      <c r="H59" t="s">
        <v>28</v>
      </c>
      <c r="I59" t="s">
        <v>65</v>
      </c>
      <c r="J59" t="s">
        <v>18</v>
      </c>
      <c r="K59" t="s">
        <v>823</v>
      </c>
      <c r="L59" t="s">
        <v>116</v>
      </c>
    </row>
    <row r="60" spans="2:12" x14ac:dyDescent="0.35">
      <c r="B60" t="s">
        <v>133</v>
      </c>
      <c r="C60" t="s">
        <v>178</v>
      </c>
      <c r="D60" t="s">
        <v>24</v>
      </c>
      <c r="E60">
        <v>47</v>
      </c>
      <c r="F60" t="s">
        <v>39</v>
      </c>
      <c r="G60" t="s">
        <v>207</v>
      </c>
      <c r="H60" t="s">
        <v>28</v>
      </c>
      <c r="I60" t="s">
        <v>65</v>
      </c>
      <c r="J60" t="s">
        <v>18</v>
      </c>
      <c r="K60" t="s">
        <v>1168</v>
      </c>
      <c r="L60" t="s">
        <v>115</v>
      </c>
    </row>
    <row r="61" spans="2:12" x14ac:dyDescent="0.35">
      <c r="B61" t="s">
        <v>134</v>
      </c>
      <c r="C61" t="s">
        <v>178</v>
      </c>
      <c r="D61" t="s">
        <v>24</v>
      </c>
      <c r="E61">
        <v>44</v>
      </c>
      <c r="F61" t="s">
        <v>39</v>
      </c>
      <c r="G61" t="s">
        <v>179</v>
      </c>
      <c r="H61" t="s">
        <v>28</v>
      </c>
      <c r="I61" t="s">
        <v>53</v>
      </c>
      <c r="J61" t="s">
        <v>18</v>
      </c>
      <c r="K61" t="s">
        <v>1115</v>
      </c>
      <c r="L61" t="s">
        <v>115</v>
      </c>
    </row>
    <row r="62" spans="2:12" x14ac:dyDescent="0.35">
      <c r="B62" t="s">
        <v>135</v>
      </c>
      <c r="C62" t="s">
        <v>178</v>
      </c>
      <c r="D62" t="s">
        <v>24</v>
      </c>
      <c r="E62">
        <v>35</v>
      </c>
      <c r="F62" t="s">
        <v>39</v>
      </c>
      <c r="G62" t="s">
        <v>179</v>
      </c>
      <c r="H62" t="s">
        <v>40</v>
      </c>
      <c r="I62" t="s">
        <v>65</v>
      </c>
      <c r="J62" t="s">
        <v>18</v>
      </c>
      <c r="K62" t="s">
        <v>1224</v>
      </c>
      <c r="L62" t="s">
        <v>115</v>
      </c>
    </row>
    <row r="63" spans="2:12" x14ac:dyDescent="0.35">
      <c r="B63" t="s">
        <v>136</v>
      </c>
      <c r="C63" t="s">
        <v>178</v>
      </c>
      <c r="D63" t="s">
        <v>24</v>
      </c>
      <c r="E63">
        <v>42</v>
      </c>
      <c r="F63" t="s">
        <v>39</v>
      </c>
      <c r="G63" t="s">
        <v>179</v>
      </c>
      <c r="H63" t="s">
        <v>28</v>
      </c>
      <c r="I63" t="s">
        <v>68</v>
      </c>
      <c r="J63" t="s">
        <v>18</v>
      </c>
      <c r="K63" t="s">
        <v>891</v>
      </c>
      <c r="L63" t="s">
        <v>117</v>
      </c>
    </row>
    <row r="64" spans="2:12" x14ac:dyDescent="0.35">
      <c r="B64" t="s">
        <v>137</v>
      </c>
      <c r="C64" t="s">
        <v>178</v>
      </c>
      <c r="D64" t="s">
        <v>24</v>
      </c>
      <c r="E64">
        <v>48</v>
      </c>
      <c r="F64" t="s">
        <v>39</v>
      </c>
      <c r="G64" t="s">
        <v>268</v>
      </c>
      <c r="H64" t="s">
        <v>28</v>
      </c>
      <c r="I64" t="s">
        <v>68</v>
      </c>
      <c r="J64" t="s">
        <v>18</v>
      </c>
      <c r="K64" t="s">
        <v>898</v>
      </c>
      <c r="L64" t="s">
        <v>117</v>
      </c>
    </row>
    <row r="65" spans="2:12" x14ac:dyDescent="0.35">
      <c r="B65" t="s">
        <v>138</v>
      </c>
      <c r="C65" t="s">
        <v>178</v>
      </c>
      <c r="D65" t="s">
        <v>24</v>
      </c>
      <c r="E65">
        <v>41</v>
      </c>
      <c r="F65" t="s">
        <v>39</v>
      </c>
      <c r="G65" t="s">
        <v>193</v>
      </c>
      <c r="H65" t="s">
        <v>28</v>
      </c>
      <c r="I65" t="s">
        <v>68</v>
      </c>
      <c r="J65" t="s">
        <v>30</v>
      </c>
      <c r="K65" t="s">
        <v>904</v>
      </c>
      <c r="L65" t="s">
        <v>117</v>
      </c>
    </row>
    <row r="66" spans="2:12" x14ac:dyDescent="0.35">
      <c r="B66" t="s">
        <v>139</v>
      </c>
      <c r="C66" t="s">
        <v>210</v>
      </c>
      <c r="D66" t="s">
        <v>24</v>
      </c>
      <c r="E66">
        <v>45</v>
      </c>
      <c r="F66" t="s">
        <v>39</v>
      </c>
      <c r="G66" t="s">
        <v>193</v>
      </c>
      <c r="H66" t="s">
        <v>28</v>
      </c>
      <c r="I66" t="s">
        <v>68</v>
      </c>
      <c r="J66" t="s">
        <v>18</v>
      </c>
      <c r="K66" t="s">
        <v>488</v>
      </c>
      <c r="L66" t="s">
        <v>140</v>
      </c>
    </row>
    <row r="67" spans="2:12" x14ac:dyDescent="0.35">
      <c r="B67" t="s">
        <v>141</v>
      </c>
      <c r="C67" t="s">
        <v>182</v>
      </c>
      <c r="D67" t="s">
        <v>13</v>
      </c>
      <c r="E67">
        <v>45</v>
      </c>
      <c r="F67" t="s">
        <v>15</v>
      </c>
      <c r="G67" t="s">
        <v>186</v>
      </c>
      <c r="H67" t="s">
        <v>40</v>
      </c>
      <c r="I67" t="s">
        <v>68</v>
      </c>
      <c r="J67" t="s">
        <v>18</v>
      </c>
      <c r="K67" t="s">
        <v>936</v>
      </c>
      <c r="L67" t="s">
        <v>117</v>
      </c>
    </row>
    <row r="68" spans="2:12" x14ac:dyDescent="0.35">
      <c r="B68" t="s">
        <v>298</v>
      </c>
      <c r="C68" t="s">
        <v>182</v>
      </c>
      <c r="D68" t="s">
        <v>24</v>
      </c>
      <c r="E68">
        <v>36</v>
      </c>
      <c r="F68" t="s">
        <v>39</v>
      </c>
      <c r="G68" t="s">
        <v>290</v>
      </c>
      <c r="H68" t="s">
        <v>40</v>
      </c>
      <c r="I68" t="s">
        <v>68</v>
      </c>
      <c r="J68" t="s">
        <v>18</v>
      </c>
      <c r="K68" t="s">
        <v>299</v>
      </c>
      <c r="L68" t="s">
        <v>116</v>
      </c>
    </row>
    <row r="69" spans="2:12" x14ac:dyDescent="0.35">
      <c r="B69" t="s">
        <v>287</v>
      </c>
      <c r="C69" t="s">
        <v>178</v>
      </c>
      <c r="D69" t="s">
        <v>24</v>
      </c>
      <c r="E69">
        <v>49</v>
      </c>
      <c r="F69" t="s">
        <v>39</v>
      </c>
      <c r="G69" t="s">
        <v>183</v>
      </c>
      <c r="H69" t="s">
        <v>28</v>
      </c>
      <c r="I69" t="s">
        <v>53</v>
      </c>
      <c r="J69" t="s">
        <v>18</v>
      </c>
      <c r="K69" t="s">
        <v>288</v>
      </c>
      <c r="L69" t="s">
        <v>115</v>
      </c>
    </row>
    <row r="70" spans="2:12" x14ac:dyDescent="0.35">
      <c r="B70" t="s">
        <v>142</v>
      </c>
      <c r="C70" t="s">
        <v>178</v>
      </c>
      <c r="D70" t="s">
        <v>24</v>
      </c>
      <c r="E70">
        <v>44</v>
      </c>
      <c r="F70" t="s">
        <v>15</v>
      </c>
      <c r="G70" t="s">
        <v>183</v>
      </c>
      <c r="H70" t="s">
        <v>40</v>
      </c>
      <c r="I70" t="s">
        <v>65</v>
      </c>
      <c r="J70" t="s">
        <v>18</v>
      </c>
      <c r="K70" t="s">
        <v>846</v>
      </c>
      <c r="L70" t="s">
        <v>116</v>
      </c>
    </row>
    <row r="71" spans="2:12" x14ac:dyDescent="0.35">
      <c r="B71" t="s">
        <v>143</v>
      </c>
      <c r="C71" t="s">
        <v>178</v>
      </c>
      <c r="D71" t="s">
        <v>24</v>
      </c>
      <c r="E71">
        <v>38</v>
      </c>
      <c r="F71" t="s">
        <v>39</v>
      </c>
      <c r="G71" t="s">
        <v>268</v>
      </c>
      <c r="H71" t="s">
        <v>28</v>
      </c>
      <c r="I71" t="s">
        <v>68</v>
      </c>
      <c r="J71" t="s">
        <v>18</v>
      </c>
      <c r="K71" t="s">
        <v>918</v>
      </c>
      <c r="L71" t="s">
        <v>117</v>
      </c>
    </row>
    <row r="72" spans="2:12" x14ac:dyDescent="0.35">
      <c r="B72" t="s">
        <v>144</v>
      </c>
      <c r="C72" t="s">
        <v>178</v>
      </c>
      <c r="D72" t="s">
        <v>24</v>
      </c>
      <c r="E72">
        <v>48</v>
      </c>
      <c r="F72" t="s">
        <v>15</v>
      </c>
      <c r="G72" t="s">
        <v>183</v>
      </c>
      <c r="H72" t="s">
        <v>28</v>
      </c>
      <c r="I72" t="s">
        <v>65</v>
      </c>
      <c r="J72" t="s">
        <v>18</v>
      </c>
      <c r="K72" t="s">
        <v>1016</v>
      </c>
      <c r="L72" t="s">
        <v>117</v>
      </c>
    </row>
    <row r="73" spans="2:12" x14ac:dyDescent="0.35">
      <c r="B73" t="s">
        <v>145</v>
      </c>
      <c r="C73" t="s">
        <v>178</v>
      </c>
      <c r="D73" t="s">
        <v>24</v>
      </c>
      <c r="E73">
        <v>40</v>
      </c>
      <c r="F73" t="s">
        <v>39</v>
      </c>
      <c r="G73" t="s">
        <v>703</v>
      </c>
      <c r="H73" t="s">
        <v>28</v>
      </c>
      <c r="I73" t="s">
        <v>68</v>
      </c>
      <c r="J73" t="s">
        <v>18</v>
      </c>
      <c r="K73" t="s">
        <v>704</v>
      </c>
      <c r="L73" t="s">
        <v>116</v>
      </c>
    </row>
    <row r="74" spans="2:12" x14ac:dyDescent="0.35">
      <c r="B74" t="s">
        <v>146</v>
      </c>
      <c r="C74" t="s">
        <v>178</v>
      </c>
      <c r="D74" t="s">
        <v>24</v>
      </c>
      <c r="E74">
        <v>35</v>
      </c>
      <c r="F74" t="s">
        <v>15</v>
      </c>
      <c r="G74" t="s">
        <v>183</v>
      </c>
      <c r="H74" t="s">
        <v>40</v>
      </c>
      <c r="I74" t="s">
        <v>65</v>
      </c>
      <c r="J74" t="s">
        <v>18</v>
      </c>
      <c r="K74" t="s">
        <v>1070</v>
      </c>
      <c r="L74" t="s">
        <v>115</v>
      </c>
    </row>
    <row r="75" spans="2:12" x14ac:dyDescent="0.35">
      <c r="B75" t="s">
        <v>147</v>
      </c>
      <c r="C75" t="s">
        <v>523</v>
      </c>
      <c r="D75" t="s">
        <v>13</v>
      </c>
      <c r="E75">
        <v>46</v>
      </c>
      <c r="F75" t="s">
        <v>15</v>
      </c>
      <c r="G75" t="s">
        <v>193</v>
      </c>
      <c r="H75" t="s">
        <v>28</v>
      </c>
      <c r="I75" t="s">
        <v>61</v>
      </c>
      <c r="J75" t="s">
        <v>18</v>
      </c>
      <c r="K75" t="s">
        <v>761</v>
      </c>
      <c r="L75" t="s">
        <v>116</v>
      </c>
    </row>
    <row r="76" spans="2:12" x14ac:dyDescent="0.35">
      <c r="B76" t="s">
        <v>148</v>
      </c>
      <c r="C76" t="s">
        <v>182</v>
      </c>
      <c r="D76" t="s">
        <v>13</v>
      </c>
      <c r="E76">
        <v>53</v>
      </c>
      <c r="F76" t="s">
        <v>39</v>
      </c>
      <c r="G76" t="s">
        <v>183</v>
      </c>
      <c r="H76" t="s">
        <v>28</v>
      </c>
      <c r="I76" t="s">
        <v>68</v>
      </c>
      <c r="J76" t="s">
        <v>30</v>
      </c>
      <c r="K76" t="s">
        <v>364</v>
      </c>
      <c r="L76" t="s">
        <v>149</v>
      </c>
    </row>
    <row r="77" spans="2:12" x14ac:dyDescent="0.35">
      <c r="B77" t="s">
        <v>300</v>
      </c>
      <c r="C77" t="s">
        <v>178</v>
      </c>
      <c r="D77" t="s">
        <v>24</v>
      </c>
      <c r="E77">
        <v>39</v>
      </c>
      <c r="F77" t="s">
        <v>15</v>
      </c>
      <c r="G77" t="s">
        <v>290</v>
      </c>
      <c r="H77" t="s">
        <v>40</v>
      </c>
      <c r="I77" t="s">
        <v>68</v>
      </c>
      <c r="J77" t="s">
        <v>18</v>
      </c>
      <c r="K77" t="s">
        <v>301</v>
      </c>
      <c r="L77" t="s">
        <v>116</v>
      </c>
    </row>
    <row r="78" spans="2:12" x14ac:dyDescent="0.35">
      <c r="B78" t="s">
        <v>150</v>
      </c>
      <c r="C78" t="s">
        <v>178</v>
      </c>
      <c r="D78" t="s">
        <v>24</v>
      </c>
      <c r="E78">
        <v>39</v>
      </c>
      <c r="F78" t="s">
        <v>39</v>
      </c>
      <c r="G78" t="s">
        <v>329</v>
      </c>
      <c r="H78" t="s">
        <v>28</v>
      </c>
      <c r="I78" t="s">
        <v>65</v>
      </c>
      <c r="J78" t="s">
        <v>18</v>
      </c>
      <c r="K78" t="s">
        <v>644</v>
      </c>
      <c r="L78" t="s">
        <v>129</v>
      </c>
    </row>
    <row r="79" spans="2:12" x14ac:dyDescent="0.35">
      <c r="B79" t="s">
        <v>151</v>
      </c>
      <c r="C79" t="s">
        <v>178</v>
      </c>
      <c r="D79" t="s">
        <v>24</v>
      </c>
      <c r="E79">
        <v>44</v>
      </c>
      <c r="F79" t="s">
        <v>39</v>
      </c>
      <c r="G79" t="s">
        <v>207</v>
      </c>
      <c r="H79" t="s">
        <v>28</v>
      </c>
      <c r="I79" t="s">
        <v>68</v>
      </c>
      <c r="J79" t="s">
        <v>18</v>
      </c>
      <c r="K79" t="s">
        <v>501</v>
      </c>
      <c r="L79" t="s">
        <v>140</v>
      </c>
    </row>
    <row r="80" spans="2:12" x14ac:dyDescent="0.35">
      <c r="B80" t="s">
        <v>152</v>
      </c>
      <c r="C80" t="s">
        <v>178</v>
      </c>
      <c r="D80" t="s">
        <v>24</v>
      </c>
      <c r="E80">
        <v>37</v>
      </c>
      <c r="F80" t="s">
        <v>15</v>
      </c>
      <c r="G80" t="s">
        <v>183</v>
      </c>
      <c r="H80" t="s">
        <v>40</v>
      </c>
      <c r="I80" t="s">
        <v>65</v>
      </c>
      <c r="J80" t="s">
        <v>18</v>
      </c>
      <c r="K80" t="s">
        <v>1077</v>
      </c>
      <c r="L80" t="s">
        <v>115</v>
      </c>
    </row>
    <row r="81" spans="2:12" x14ac:dyDescent="0.35">
      <c r="B81" t="s">
        <v>153</v>
      </c>
      <c r="C81" t="s">
        <v>178</v>
      </c>
      <c r="D81" t="s">
        <v>24</v>
      </c>
      <c r="E81">
        <v>52</v>
      </c>
      <c r="F81" t="s">
        <v>27</v>
      </c>
      <c r="G81" t="s">
        <v>186</v>
      </c>
      <c r="H81" t="s">
        <v>28</v>
      </c>
      <c r="I81" t="s">
        <v>47</v>
      </c>
      <c r="J81" t="s">
        <v>18</v>
      </c>
      <c r="K81" t="s">
        <v>351</v>
      </c>
      <c r="L81" t="s">
        <v>118</v>
      </c>
    </row>
    <row r="82" spans="2:12" x14ac:dyDescent="0.35">
      <c r="B82" t="s">
        <v>154</v>
      </c>
      <c r="C82" t="s">
        <v>182</v>
      </c>
      <c r="D82" t="s">
        <v>13</v>
      </c>
      <c r="E82">
        <v>40</v>
      </c>
      <c r="F82" t="s">
        <v>15</v>
      </c>
      <c r="G82" t="s">
        <v>221</v>
      </c>
      <c r="H82" t="s">
        <v>40</v>
      </c>
      <c r="I82" t="s">
        <v>68</v>
      </c>
      <c r="J82" t="s">
        <v>18</v>
      </c>
      <c r="K82" t="s">
        <v>651</v>
      </c>
      <c r="L82" t="s">
        <v>129</v>
      </c>
    </row>
    <row r="83" spans="2:12" x14ac:dyDescent="0.35">
      <c r="B83" t="s">
        <v>155</v>
      </c>
      <c r="C83" t="s">
        <v>210</v>
      </c>
      <c r="D83" t="s">
        <v>24</v>
      </c>
      <c r="E83">
        <v>42</v>
      </c>
      <c r="F83" t="s">
        <v>39</v>
      </c>
      <c r="G83" t="s">
        <v>179</v>
      </c>
      <c r="H83" t="s">
        <v>28</v>
      </c>
      <c r="I83" t="s">
        <v>65</v>
      </c>
      <c r="J83" t="s">
        <v>18</v>
      </c>
      <c r="K83" t="s">
        <v>833</v>
      </c>
      <c r="L83" t="s">
        <v>116</v>
      </c>
    </row>
    <row r="84" spans="2:12" x14ac:dyDescent="0.35">
      <c r="B84" t="s">
        <v>156</v>
      </c>
      <c r="C84" t="s">
        <v>178</v>
      </c>
      <c r="D84" t="s">
        <v>24</v>
      </c>
      <c r="E84">
        <v>55</v>
      </c>
      <c r="F84" t="s">
        <v>39</v>
      </c>
      <c r="G84" t="s">
        <v>329</v>
      </c>
      <c r="H84" t="s">
        <v>28</v>
      </c>
      <c r="I84" t="s">
        <v>65</v>
      </c>
      <c r="J84" t="s">
        <v>18</v>
      </c>
      <c r="K84" t="s">
        <v>942</v>
      </c>
      <c r="L84" t="s">
        <v>117</v>
      </c>
    </row>
    <row r="85" spans="2:12" x14ac:dyDescent="0.35">
      <c r="B85" t="s">
        <v>157</v>
      </c>
      <c r="C85" t="s">
        <v>178</v>
      </c>
      <c r="D85" t="s">
        <v>24</v>
      </c>
      <c r="E85">
        <v>47</v>
      </c>
      <c r="F85" t="s">
        <v>27</v>
      </c>
      <c r="G85" t="s">
        <v>186</v>
      </c>
      <c r="H85" t="s">
        <v>28</v>
      </c>
      <c r="I85" t="s">
        <v>19</v>
      </c>
      <c r="J85" t="s">
        <v>18</v>
      </c>
      <c r="K85" t="s">
        <v>428</v>
      </c>
      <c r="L85" t="s">
        <v>120</v>
      </c>
    </row>
    <row r="86" spans="2:12" x14ac:dyDescent="0.35">
      <c r="B86" t="s">
        <v>158</v>
      </c>
      <c r="C86" t="s">
        <v>178</v>
      </c>
      <c r="D86" t="s">
        <v>24</v>
      </c>
      <c r="E86">
        <v>49</v>
      </c>
      <c r="F86" t="s">
        <v>27</v>
      </c>
      <c r="G86" t="s">
        <v>186</v>
      </c>
      <c r="H86" t="s">
        <v>28</v>
      </c>
      <c r="I86" t="s">
        <v>57</v>
      </c>
      <c r="J86" t="s">
        <v>18</v>
      </c>
      <c r="K86" t="s">
        <v>408</v>
      </c>
      <c r="L86" t="s">
        <v>122</v>
      </c>
    </row>
    <row r="87" spans="2:12" x14ac:dyDescent="0.35">
      <c r="B87" t="s">
        <v>159</v>
      </c>
      <c r="C87" t="s">
        <v>182</v>
      </c>
      <c r="D87" t="s">
        <v>13</v>
      </c>
      <c r="E87">
        <v>63</v>
      </c>
      <c r="F87" t="s">
        <v>39</v>
      </c>
      <c r="G87" t="s">
        <v>186</v>
      </c>
      <c r="H87" t="s">
        <v>28</v>
      </c>
      <c r="I87" t="s">
        <v>57</v>
      </c>
      <c r="J87" t="s">
        <v>18</v>
      </c>
      <c r="K87" t="s">
        <v>313</v>
      </c>
      <c r="L87" t="s">
        <v>160</v>
      </c>
    </row>
    <row r="88" spans="2:12" x14ac:dyDescent="0.35">
      <c r="B88" t="s">
        <v>161</v>
      </c>
      <c r="C88" t="s">
        <v>178</v>
      </c>
      <c r="D88" t="s">
        <v>24</v>
      </c>
      <c r="E88">
        <v>35</v>
      </c>
      <c r="F88" t="s">
        <v>39</v>
      </c>
      <c r="G88" t="s">
        <v>193</v>
      </c>
      <c r="H88" t="s">
        <v>40</v>
      </c>
      <c r="I88" t="s">
        <v>65</v>
      </c>
      <c r="J88" t="s">
        <v>18</v>
      </c>
      <c r="K88" t="s">
        <v>1189</v>
      </c>
      <c r="L88" t="s">
        <v>115</v>
      </c>
    </row>
    <row r="89" spans="2:12" x14ac:dyDescent="0.35">
      <c r="B89" t="s">
        <v>162</v>
      </c>
      <c r="C89" t="s">
        <v>178</v>
      </c>
      <c r="D89" t="s">
        <v>24</v>
      </c>
      <c r="E89">
        <v>53</v>
      </c>
      <c r="F89" t="s">
        <v>27</v>
      </c>
      <c r="G89" t="s">
        <v>186</v>
      </c>
      <c r="H89" t="s">
        <v>28</v>
      </c>
      <c r="I89" t="s">
        <v>57</v>
      </c>
      <c r="J89" t="s">
        <v>18</v>
      </c>
      <c r="K89" t="s">
        <v>379</v>
      </c>
      <c r="L89" t="s">
        <v>122</v>
      </c>
    </row>
    <row r="90" spans="2:12" x14ac:dyDescent="0.35">
      <c r="B90" t="s">
        <v>163</v>
      </c>
      <c r="C90" t="s">
        <v>178</v>
      </c>
      <c r="D90" t="s">
        <v>24</v>
      </c>
      <c r="E90">
        <v>50</v>
      </c>
      <c r="F90" t="s">
        <v>39</v>
      </c>
      <c r="G90" t="s">
        <v>207</v>
      </c>
      <c r="H90" t="s">
        <v>28</v>
      </c>
      <c r="I90" t="s">
        <v>47</v>
      </c>
      <c r="J90" t="s">
        <v>18</v>
      </c>
      <c r="K90" t="s">
        <v>571</v>
      </c>
      <c r="L90" t="s">
        <v>119</v>
      </c>
    </row>
    <row r="91" spans="2:12" x14ac:dyDescent="0.35">
      <c r="B91" t="s">
        <v>164</v>
      </c>
      <c r="C91" t="s">
        <v>178</v>
      </c>
      <c r="D91" t="s">
        <v>24</v>
      </c>
      <c r="E91">
        <v>37</v>
      </c>
      <c r="F91" t="s">
        <v>39</v>
      </c>
      <c r="G91" t="s">
        <v>193</v>
      </c>
      <c r="H91" t="s">
        <v>40</v>
      </c>
      <c r="I91" t="s">
        <v>68</v>
      </c>
      <c r="J91" t="s">
        <v>18</v>
      </c>
      <c r="K91" t="s">
        <v>970</v>
      </c>
      <c r="L91" t="s">
        <v>117</v>
      </c>
    </row>
    <row r="92" spans="2:12" x14ac:dyDescent="0.35">
      <c r="B92" t="s">
        <v>165</v>
      </c>
      <c r="C92" t="s">
        <v>178</v>
      </c>
      <c r="D92" t="s">
        <v>24</v>
      </c>
      <c r="E92">
        <v>42</v>
      </c>
      <c r="F92" t="s">
        <v>39</v>
      </c>
      <c r="G92" t="s">
        <v>193</v>
      </c>
      <c r="H92" t="s">
        <v>28</v>
      </c>
      <c r="I92" t="s">
        <v>68</v>
      </c>
      <c r="J92" t="s">
        <v>18</v>
      </c>
      <c r="K92" t="s">
        <v>551</v>
      </c>
      <c r="L92" t="s">
        <v>128</v>
      </c>
    </row>
    <row r="93" spans="2:12" x14ac:dyDescent="0.35">
      <c r="B93" t="s">
        <v>166</v>
      </c>
      <c r="C93" t="s">
        <v>178</v>
      </c>
      <c r="D93" t="s">
        <v>24</v>
      </c>
      <c r="E93">
        <v>39</v>
      </c>
      <c r="F93" t="s">
        <v>39</v>
      </c>
      <c r="G93" t="s">
        <v>193</v>
      </c>
      <c r="H93" t="s">
        <v>28</v>
      </c>
      <c r="I93" t="s">
        <v>68</v>
      </c>
      <c r="J93" t="s">
        <v>18</v>
      </c>
      <c r="K93" t="s">
        <v>710</v>
      </c>
      <c r="L93" t="s">
        <v>116</v>
      </c>
    </row>
    <row r="94" spans="2:12" x14ac:dyDescent="0.35">
      <c r="B94" t="s">
        <v>167</v>
      </c>
      <c r="C94" t="s">
        <v>210</v>
      </c>
      <c r="D94" t="s">
        <v>24</v>
      </c>
      <c r="E94">
        <v>43</v>
      </c>
      <c r="F94" t="s">
        <v>39</v>
      </c>
      <c r="G94" t="s">
        <v>179</v>
      </c>
      <c r="H94" t="s">
        <v>28</v>
      </c>
      <c r="I94" t="s">
        <v>65</v>
      </c>
      <c r="J94" t="s">
        <v>18</v>
      </c>
      <c r="K94" t="s">
        <v>1010</v>
      </c>
      <c r="L94" t="s">
        <v>117</v>
      </c>
    </row>
    <row r="95" spans="2:12" x14ac:dyDescent="0.35">
      <c r="B95" t="s">
        <v>168</v>
      </c>
      <c r="C95" t="s">
        <v>178</v>
      </c>
      <c r="D95" t="s">
        <v>24</v>
      </c>
      <c r="E95">
        <v>44</v>
      </c>
      <c r="F95" t="s">
        <v>39</v>
      </c>
      <c r="G95" t="s">
        <v>637</v>
      </c>
      <c r="H95" t="s">
        <v>28</v>
      </c>
      <c r="I95" t="s">
        <v>65</v>
      </c>
      <c r="J95" t="s">
        <v>18</v>
      </c>
      <c r="K95" t="s">
        <v>1034</v>
      </c>
      <c r="L95" t="s">
        <v>117</v>
      </c>
    </row>
    <row r="96" spans="2:12" x14ac:dyDescent="0.35">
      <c r="B96" t="s">
        <v>169</v>
      </c>
      <c r="C96" t="s">
        <v>178</v>
      </c>
      <c r="D96" t="s">
        <v>24</v>
      </c>
      <c r="E96">
        <v>33</v>
      </c>
      <c r="F96" t="s">
        <v>39</v>
      </c>
      <c r="G96" t="s">
        <v>193</v>
      </c>
      <c r="H96" t="s">
        <v>40</v>
      </c>
      <c r="I96" t="s">
        <v>65</v>
      </c>
      <c r="J96" t="s">
        <v>18</v>
      </c>
      <c r="K96" t="s">
        <v>1231</v>
      </c>
      <c r="L96" t="s">
        <v>115</v>
      </c>
    </row>
    <row r="97" spans="2:12" x14ac:dyDescent="0.35">
      <c r="B97" t="s">
        <v>296</v>
      </c>
      <c r="C97" t="s">
        <v>114</v>
      </c>
      <c r="D97" t="s">
        <v>13</v>
      </c>
      <c r="E97">
        <v>44</v>
      </c>
      <c r="F97" t="s">
        <v>15</v>
      </c>
      <c r="G97" t="s">
        <v>290</v>
      </c>
      <c r="H97" t="s">
        <v>40</v>
      </c>
      <c r="I97" t="s">
        <v>68</v>
      </c>
      <c r="J97" t="s">
        <v>18</v>
      </c>
      <c r="K97" t="s">
        <v>297</v>
      </c>
      <c r="L97" t="s">
        <v>128</v>
      </c>
    </row>
    <row r="98" spans="2:12" x14ac:dyDescent="0.35">
      <c r="B98" t="s">
        <v>170</v>
      </c>
      <c r="C98" t="s">
        <v>210</v>
      </c>
      <c r="D98" t="s">
        <v>24</v>
      </c>
      <c r="E98">
        <v>41</v>
      </c>
      <c r="F98" t="s">
        <v>39</v>
      </c>
      <c r="G98" t="s">
        <v>960</v>
      </c>
      <c r="H98" t="s">
        <v>28</v>
      </c>
      <c r="I98" t="s">
        <v>65</v>
      </c>
      <c r="J98" t="s">
        <v>18</v>
      </c>
      <c r="K98" t="s">
        <v>965</v>
      </c>
      <c r="L98" t="s">
        <v>117</v>
      </c>
    </row>
    <row r="99" spans="2:12" x14ac:dyDescent="0.35">
      <c r="B99" t="s">
        <v>171</v>
      </c>
      <c r="C99" t="s">
        <v>178</v>
      </c>
      <c r="D99" t="s">
        <v>24</v>
      </c>
      <c r="E99">
        <v>47</v>
      </c>
      <c r="F99" t="s">
        <v>39</v>
      </c>
      <c r="G99" t="s">
        <v>637</v>
      </c>
      <c r="H99" t="s">
        <v>28</v>
      </c>
      <c r="I99" t="s">
        <v>65</v>
      </c>
      <c r="J99" t="s">
        <v>18</v>
      </c>
      <c r="K99" t="s">
        <v>638</v>
      </c>
      <c r="L99" t="s">
        <v>129</v>
      </c>
    </row>
    <row r="100" spans="2:12" x14ac:dyDescent="0.35">
      <c r="B100" t="s">
        <v>172</v>
      </c>
      <c r="C100" t="s">
        <v>178</v>
      </c>
      <c r="D100" t="s">
        <v>24</v>
      </c>
      <c r="E100">
        <v>36</v>
      </c>
      <c r="F100" t="s">
        <v>39</v>
      </c>
      <c r="G100" t="s">
        <v>179</v>
      </c>
      <c r="H100" t="s">
        <v>28</v>
      </c>
      <c r="I100" t="s">
        <v>65</v>
      </c>
      <c r="J100" t="s">
        <v>18</v>
      </c>
      <c r="K100" t="s">
        <v>1125</v>
      </c>
      <c r="L100" t="s">
        <v>115</v>
      </c>
    </row>
    <row r="101" spans="2:12" x14ac:dyDescent="0.35">
      <c r="B101" t="s">
        <v>173</v>
      </c>
      <c r="C101" t="s">
        <v>178</v>
      </c>
      <c r="D101" t="s">
        <v>24</v>
      </c>
      <c r="E101">
        <v>48</v>
      </c>
      <c r="F101" t="s">
        <v>39</v>
      </c>
      <c r="G101" t="s">
        <v>329</v>
      </c>
      <c r="H101" t="s">
        <v>28</v>
      </c>
      <c r="I101" t="s">
        <v>31</v>
      </c>
      <c r="J101" t="s">
        <v>18</v>
      </c>
      <c r="K101" t="s">
        <v>850</v>
      </c>
      <c r="L101" t="s">
        <v>116</v>
      </c>
    </row>
    <row r="102" spans="2:12" x14ac:dyDescent="0.35">
      <c r="B102" t="s">
        <v>174</v>
      </c>
      <c r="C102" t="s">
        <v>182</v>
      </c>
      <c r="D102" t="s">
        <v>13</v>
      </c>
      <c r="E102">
        <v>37</v>
      </c>
      <c r="F102" t="s">
        <v>39</v>
      </c>
      <c r="G102" t="s">
        <v>186</v>
      </c>
      <c r="H102" t="s">
        <v>40</v>
      </c>
      <c r="I102" t="s">
        <v>42</v>
      </c>
      <c r="J102" t="s">
        <v>18</v>
      </c>
      <c r="K102" t="s">
        <v>1208</v>
      </c>
      <c r="L102" t="s">
        <v>115</v>
      </c>
    </row>
    <row r="103" spans="2:12" x14ac:dyDescent="0.35">
      <c r="B103" t="s">
        <v>175</v>
      </c>
      <c r="C103" t="s">
        <v>178</v>
      </c>
      <c r="D103" t="s">
        <v>24</v>
      </c>
      <c r="E103">
        <v>45</v>
      </c>
      <c r="F103" t="s">
        <v>15</v>
      </c>
      <c r="G103" t="s">
        <v>183</v>
      </c>
      <c r="H103" t="s">
        <v>28</v>
      </c>
      <c r="I103" t="s">
        <v>65</v>
      </c>
      <c r="J103" t="s">
        <v>18</v>
      </c>
      <c r="K103" t="s">
        <v>930</v>
      </c>
      <c r="L103" t="s">
        <v>117</v>
      </c>
    </row>
    <row r="104" spans="2:12" x14ac:dyDescent="0.35">
      <c r="B104" t="s">
        <v>176</v>
      </c>
      <c r="C104" t="s">
        <v>178</v>
      </c>
      <c r="D104" t="s">
        <v>24</v>
      </c>
      <c r="E104">
        <v>45</v>
      </c>
      <c r="F104" t="s">
        <v>39</v>
      </c>
      <c r="G104" t="s">
        <v>193</v>
      </c>
      <c r="H104" t="s">
        <v>28</v>
      </c>
      <c r="I104" t="s">
        <v>68</v>
      </c>
      <c r="J104" t="s">
        <v>18</v>
      </c>
      <c r="K104" t="s">
        <v>513</v>
      </c>
      <c r="L104" t="s">
        <v>140</v>
      </c>
    </row>
    <row r="105" spans="2:12" x14ac:dyDescent="0.35">
      <c r="B105" t="s">
        <v>177</v>
      </c>
      <c r="C105" t="s">
        <v>178</v>
      </c>
      <c r="D105" t="s">
        <v>24</v>
      </c>
      <c r="E105">
        <v>43</v>
      </c>
      <c r="F105" t="s">
        <v>39</v>
      </c>
      <c r="G105" t="s">
        <v>179</v>
      </c>
      <c r="H105" t="s">
        <v>40</v>
      </c>
      <c r="I105" t="s">
        <v>65</v>
      </c>
      <c r="J105" t="s">
        <v>18</v>
      </c>
      <c r="K105" t="s">
        <v>180</v>
      </c>
      <c r="L105" t="s">
        <v>115</v>
      </c>
    </row>
    <row r="106" spans="2:12" x14ac:dyDescent="0.35">
      <c r="B106" t="s">
        <v>181</v>
      </c>
      <c r="C106" t="s">
        <v>182</v>
      </c>
      <c r="D106" t="s">
        <v>13</v>
      </c>
      <c r="E106">
        <v>56</v>
      </c>
      <c r="F106" t="s">
        <v>39</v>
      </c>
      <c r="G106" t="s">
        <v>183</v>
      </c>
      <c r="H106" t="s">
        <v>28</v>
      </c>
      <c r="I106" t="s">
        <v>19</v>
      </c>
      <c r="J106" t="s">
        <v>30</v>
      </c>
      <c r="K106" t="s">
        <v>184</v>
      </c>
      <c r="L106" t="s">
        <v>118</v>
      </c>
    </row>
    <row r="107" spans="2:12" x14ac:dyDescent="0.35">
      <c r="B107" t="s">
        <v>185</v>
      </c>
      <c r="C107" t="s">
        <v>178</v>
      </c>
      <c r="D107" t="s">
        <v>24</v>
      </c>
      <c r="E107">
        <v>49</v>
      </c>
      <c r="F107" t="s">
        <v>27</v>
      </c>
      <c r="G107" t="s">
        <v>186</v>
      </c>
      <c r="H107" t="s">
        <v>28</v>
      </c>
      <c r="I107" t="s">
        <v>68</v>
      </c>
      <c r="J107" t="s">
        <v>30</v>
      </c>
      <c r="K107" t="s">
        <v>187</v>
      </c>
      <c r="L107" t="s">
        <v>116</v>
      </c>
    </row>
    <row r="108" spans="2:12" x14ac:dyDescent="0.35">
      <c r="B108" t="s">
        <v>188</v>
      </c>
      <c r="C108" t="s">
        <v>178</v>
      </c>
      <c r="D108" t="s">
        <v>24</v>
      </c>
      <c r="E108">
        <v>43</v>
      </c>
      <c r="F108" t="s">
        <v>27</v>
      </c>
      <c r="G108" t="s">
        <v>186</v>
      </c>
      <c r="H108" t="s">
        <v>28</v>
      </c>
      <c r="I108" t="s">
        <v>65</v>
      </c>
      <c r="J108" t="s">
        <v>18</v>
      </c>
      <c r="K108" t="s">
        <v>189</v>
      </c>
      <c r="L108" t="s">
        <v>115</v>
      </c>
    </row>
    <row r="109" spans="2:12" x14ac:dyDescent="0.35">
      <c r="B109" t="s">
        <v>190</v>
      </c>
      <c r="C109" t="s">
        <v>178</v>
      </c>
      <c r="D109" t="s">
        <v>24</v>
      </c>
      <c r="E109">
        <v>40</v>
      </c>
      <c r="F109" t="s">
        <v>27</v>
      </c>
      <c r="G109" t="s">
        <v>186</v>
      </c>
      <c r="H109" t="s">
        <v>28</v>
      </c>
      <c r="I109" t="s">
        <v>68</v>
      </c>
      <c r="J109" t="s">
        <v>18</v>
      </c>
      <c r="K109" t="s">
        <v>191</v>
      </c>
      <c r="L109" t="s">
        <v>116</v>
      </c>
    </row>
    <row r="110" spans="2:12" x14ac:dyDescent="0.35">
      <c r="B110" t="s">
        <v>192</v>
      </c>
      <c r="C110" t="s">
        <v>178</v>
      </c>
      <c r="D110" t="s">
        <v>24</v>
      </c>
      <c r="E110">
        <v>41</v>
      </c>
      <c r="F110" t="s">
        <v>39</v>
      </c>
      <c r="G110" t="s">
        <v>193</v>
      </c>
      <c r="H110" t="s">
        <v>28</v>
      </c>
      <c r="I110" t="s">
        <v>65</v>
      </c>
      <c r="J110" t="s">
        <v>18</v>
      </c>
      <c r="K110" t="s">
        <v>194</v>
      </c>
      <c r="L110" t="s">
        <v>115</v>
      </c>
    </row>
    <row r="111" spans="2:12" x14ac:dyDescent="0.35">
      <c r="B111" t="s">
        <v>195</v>
      </c>
      <c r="C111" t="s">
        <v>178</v>
      </c>
      <c r="D111" t="s">
        <v>24</v>
      </c>
      <c r="E111">
        <v>43</v>
      </c>
      <c r="F111" t="s">
        <v>39</v>
      </c>
      <c r="G111" t="s">
        <v>196</v>
      </c>
      <c r="H111" t="s">
        <v>28</v>
      </c>
      <c r="I111" t="s">
        <v>65</v>
      </c>
      <c r="J111" t="s">
        <v>18</v>
      </c>
      <c r="K111" t="s">
        <v>197</v>
      </c>
      <c r="L111" t="s">
        <v>115</v>
      </c>
    </row>
    <row r="112" spans="2:12" x14ac:dyDescent="0.35">
      <c r="B112" t="s">
        <v>198</v>
      </c>
      <c r="C112" t="s">
        <v>178</v>
      </c>
      <c r="D112" t="s">
        <v>24</v>
      </c>
      <c r="E112">
        <v>42</v>
      </c>
      <c r="F112" t="s">
        <v>15</v>
      </c>
      <c r="G112" t="s">
        <v>186</v>
      </c>
      <c r="H112" t="s">
        <v>40</v>
      </c>
      <c r="I112" t="s">
        <v>65</v>
      </c>
      <c r="J112" t="s">
        <v>18</v>
      </c>
      <c r="K112" t="s">
        <v>199</v>
      </c>
      <c r="L112" t="s">
        <v>117</v>
      </c>
    </row>
    <row r="113" spans="2:12" x14ac:dyDescent="0.35">
      <c r="B113" t="s">
        <v>200</v>
      </c>
      <c r="C113" t="s">
        <v>178</v>
      </c>
      <c r="D113" t="s">
        <v>24</v>
      </c>
      <c r="E113">
        <v>36</v>
      </c>
      <c r="F113" t="s">
        <v>27</v>
      </c>
      <c r="G113" t="s">
        <v>186</v>
      </c>
      <c r="H113" t="s">
        <v>28</v>
      </c>
      <c r="I113" t="s">
        <v>65</v>
      </c>
      <c r="J113" t="s">
        <v>18</v>
      </c>
      <c r="K113" t="s">
        <v>201</v>
      </c>
      <c r="L113" t="s">
        <v>115</v>
      </c>
    </row>
    <row r="114" spans="2:12" x14ac:dyDescent="0.35">
      <c r="B114" t="s">
        <v>202</v>
      </c>
      <c r="C114" t="s">
        <v>178</v>
      </c>
      <c r="D114" t="s">
        <v>24</v>
      </c>
      <c r="E114">
        <v>62</v>
      </c>
      <c r="F114" t="s">
        <v>15</v>
      </c>
      <c r="G114" t="s">
        <v>193</v>
      </c>
      <c r="H114" t="s">
        <v>28</v>
      </c>
      <c r="I114" t="s">
        <v>65</v>
      </c>
      <c r="J114" t="s">
        <v>18</v>
      </c>
      <c r="K114" t="s">
        <v>203</v>
      </c>
      <c r="L114" t="s">
        <v>115</v>
      </c>
    </row>
    <row r="115" spans="2:12" x14ac:dyDescent="0.35">
      <c r="B115" t="s">
        <v>204</v>
      </c>
      <c r="C115" t="s">
        <v>178</v>
      </c>
      <c r="D115" t="s">
        <v>24</v>
      </c>
      <c r="E115">
        <v>35</v>
      </c>
      <c r="F115" t="s">
        <v>27</v>
      </c>
      <c r="G115" t="s">
        <v>186</v>
      </c>
      <c r="H115" t="s">
        <v>40</v>
      </c>
      <c r="I115" t="s">
        <v>68</v>
      </c>
      <c r="J115" t="s">
        <v>18</v>
      </c>
      <c r="K115" t="s">
        <v>205</v>
      </c>
      <c r="L115" t="s">
        <v>117</v>
      </c>
    </row>
    <row r="116" spans="2:12" x14ac:dyDescent="0.35">
      <c r="B116" t="s">
        <v>206</v>
      </c>
      <c r="C116" t="s">
        <v>182</v>
      </c>
      <c r="D116" t="s">
        <v>13</v>
      </c>
      <c r="E116">
        <v>37</v>
      </c>
      <c r="F116" t="s">
        <v>39</v>
      </c>
      <c r="G116" t="s">
        <v>207</v>
      </c>
      <c r="H116" t="s">
        <v>40</v>
      </c>
      <c r="I116" t="s">
        <v>68</v>
      </c>
      <c r="J116" t="s">
        <v>30</v>
      </c>
      <c r="K116" t="s">
        <v>208</v>
      </c>
      <c r="L116" t="s">
        <v>129</v>
      </c>
    </row>
    <row r="117" spans="2:12" x14ac:dyDescent="0.35">
      <c r="B117" t="s">
        <v>209</v>
      </c>
      <c r="C117" t="s">
        <v>210</v>
      </c>
      <c r="D117" t="s">
        <v>24</v>
      </c>
      <c r="E117">
        <v>45</v>
      </c>
      <c r="F117" t="s">
        <v>39</v>
      </c>
      <c r="G117" t="s">
        <v>179</v>
      </c>
      <c r="H117" t="s">
        <v>28</v>
      </c>
      <c r="I117" t="s">
        <v>68</v>
      </c>
      <c r="J117" t="s">
        <v>30</v>
      </c>
      <c r="K117" t="s">
        <v>211</v>
      </c>
      <c r="L117" t="s">
        <v>116</v>
      </c>
    </row>
    <row r="118" spans="2:12" x14ac:dyDescent="0.35">
      <c r="B118" t="s">
        <v>212</v>
      </c>
      <c r="C118" t="s">
        <v>178</v>
      </c>
      <c r="D118" t="s">
        <v>24</v>
      </c>
      <c r="E118">
        <v>60</v>
      </c>
      <c r="F118" t="s">
        <v>15</v>
      </c>
      <c r="G118" t="s">
        <v>183</v>
      </c>
      <c r="H118" t="s">
        <v>28</v>
      </c>
      <c r="I118" t="s">
        <v>53</v>
      </c>
      <c r="J118" t="s">
        <v>18</v>
      </c>
      <c r="K118" t="s">
        <v>213</v>
      </c>
      <c r="L118" t="s">
        <v>119</v>
      </c>
    </row>
    <row r="119" spans="2:12" x14ac:dyDescent="0.35">
      <c r="B119" t="s">
        <v>214</v>
      </c>
      <c r="C119" t="s">
        <v>178</v>
      </c>
      <c r="D119" t="s">
        <v>24</v>
      </c>
      <c r="E119">
        <v>36</v>
      </c>
      <c r="F119" t="s">
        <v>15</v>
      </c>
      <c r="G119" t="s">
        <v>183</v>
      </c>
      <c r="H119" t="s">
        <v>40</v>
      </c>
      <c r="I119" t="s">
        <v>65</v>
      </c>
      <c r="J119" t="s">
        <v>18</v>
      </c>
      <c r="K119" t="s">
        <v>215</v>
      </c>
      <c r="L119" t="s">
        <v>115</v>
      </c>
    </row>
    <row r="120" spans="2:12" x14ac:dyDescent="0.35">
      <c r="B120" t="s">
        <v>216</v>
      </c>
      <c r="C120" t="s">
        <v>210</v>
      </c>
      <c r="D120" t="s">
        <v>24</v>
      </c>
      <c r="E120">
        <v>40</v>
      </c>
      <c r="F120" t="s">
        <v>15</v>
      </c>
      <c r="G120" t="s">
        <v>183</v>
      </c>
      <c r="H120" t="s">
        <v>40</v>
      </c>
      <c r="I120" t="s">
        <v>53</v>
      </c>
      <c r="J120" t="s">
        <v>18</v>
      </c>
      <c r="K120" t="s">
        <v>217</v>
      </c>
      <c r="L120" t="s">
        <v>117</v>
      </c>
    </row>
    <row r="121" spans="2:12" x14ac:dyDescent="0.35">
      <c r="B121" t="s">
        <v>218</v>
      </c>
      <c r="C121" t="s">
        <v>178</v>
      </c>
      <c r="D121" t="s">
        <v>24</v>
      </c>
      <c r="E121">
        <v>45</v>
      </c>
      <c r="F121" t="s">
        <v>15</v>
      </c>
      <c r="G121" t="s">
        <v>183</v>
      </c>
      <c r="H121" t="s">
        <v>28</v>
      </c>
      <c r="I121" t="s">
        <v>65</v>
      </c>
      <c r="J121" t="s">
        <v>18</v>
      </c>
      <c r="K121" t="s">
        <v>219</v>
      </c>
      <c r="L121" t="s">
        <v>115</v>
      </c>
    </row>
    <row r="122" spans="2:12" x14ac:dyDescent="0.35">
      <c r="B122" t="s">
        <v>220</v>
      </c>
      <c r="C122" t="s">
        <v>114</v>
      </c>
      <c r="D122" t="s">
        <v>13</v>
      </c>
      <c r="E122">
        <v>44</v>
      </c>
      <c r="F122" t="s">
        <v>15</v>
      </c>
      <c r="G122" t="s">
        <v>221</v>
      </c>
      <c r="H122" t="s">
        <v>28</v>
      </c>
      <c r="I122" t="s">
        <v>68</v>
      </c>
      <c r="J122" t="s">
        <v>18</v>
      </c>
      <c r="K122" t="s">
        <v>222</v>
      </c>
      <c r="L122" t="s">
        <v>128</v>
      </c>
    </row>
    <row r="123" spans="2:12" x14ac:dyDescent="0.35">
      <c r="B123" t="s">
        <v>223</v>
      </c>
      <c r="C123" t="s">
        <v>178</v>
      </c>
      <c r="D123" t="s">
        <v>24</v>
      </c>
      <c r="E123">
        <v>41</v>
      </c>
      <c r="F123" t="s">
        <v>39</v>
      </c>
      <c r="G123" t="s">
        <v>207</v>
      </c>
      <c r="H123" t="s">
        <v>28</v>
      </c>
      <c r="I123" t="s">
        <v>65</v>
      </c>
      <c r="J123" t="s">
        <v>18</v>
      </c>
      <c r="K123" t="s">
        <v>224</v>
      </c>
      <c r="L123" t="s">
        <v>117</v>
      </c>
    </row>
    <row r="124" spans="2:12" x14ac:dyDescent="0.35">
      <c r="B124" t="s">
        <v>225</v>
      </c>
      <c r="C124" t="s">
        <v>178</v>
      </c>
      <c r="D124" t="s">
        <v>24</v>
      </c>
      <c r="E124">
        <v>37</v>
      </c>
      <c r="F124" t="s">
        <v>39</v>
      </c>
      <c r="G124" t="s">
        <v>193</v>
      </c>
      <c r="H124" t="s">
        <v>40</v>
      </c>
      <c r="I124" t="s">
        <v>65</v>
      </c>
      <c r="J124" t="s">
        <v>18</v>
      </c>
      <c r="K124" t="s">
        <v>226</v>
      </c>
      <c r="L124" t="s">
        <v>115</v>
      </c>
    </row>
    <row r="125" spans="2:12" x14ac:dyDescent="0.35">
      <c r="B125" t="s">
        <v>227</v>
      </c>
      <c r="C125" t="s">
        <v>178</v>
      </c>
      <c r="D125" t="s">
        <v>24</v>
      </c>
      <c r="E125">
        <v>40</v>
      </c>
      <c r="F125" t="s">
        <v>39</v>
      </c>
      <c r="G125" t="s">
        <v>179</v>
      </c>
      <c r="H125" t="s">
        <v>28</v>
      </c>
      <c r="I125" t="s">
        <v>53</v>
      </c>
      <c r="J125" t="s">
        <v>18</v>
      </c>
      <c r="K125" t="s">
        <v>228</v>
      </c>
      <c r="L125" t="s">
        <v>115</v>
      </c>
    </row>
    <row r="126" spans="2:12" x14ac:dyDescent="0.35">
      <c r="B126" t="s">
        <v>292</v>
      </c>
      <c r="C126" t="s">
        <v>178</v>
      </c>
      <c r="D126" t="s">
        <v>13</v>
      </c>
      <c r="E126">
        <v>45</v>
      </c>
      <c r="F126" t="s">
        <v>39</v>
      </c>
      <c r="G126" t="s">
        <v>290</v>
      </c>
      <c r="H126" t="s">
        <v>28</v>
      </c>
      <c r="I126" t="s">
        <v>68</v>
      </c>
      <c r="J126" t="s">
        <v>18</v>
      </c>
      <c r="K126" t="s">
        <v>293</v>
      </c>
      <c r="L126" t="s">
        <v>140</v>
      </c>
    </row>
    <row r="127" spans="2:12" x14ac:dyDescent="0.35">
      <c r="B127" t="s">
        <v>229</v>
      </c>
      <c r="C127" t="s">
        <v>210</v>
      </c>
      <c r="D127" t="s">
        <v>24</v>
      </c>
      <c r="E127">
        <v>55</v>
      </c>
      <c r="F127" t="s">
        <v>39</v>
      </c>
      <c r="G127" t="s">
        <v>207</v>
      </c>
      <c r="H127" t="s">
        <v>28</v>
      </c>
      <c r="I127" t="s">
        <v>65</v>
      </c>
      <c r="J127" t="s">
        <v>30</v>
      </c>
      <c r="K127" t="s">
        <v>230</v>
      </c>
      <c r="L127" t="s">
        <v>123</v>
      </c>
    </row>
    <row r="128" spans="2:12" x14ac:dyDescent="0.35">
      <c r="B128" t="s">
        <v>231</v>
      </c>
      <c r="C128" t="s">
        <v>114</v>
      </c>
      <c r="D128" t="s">
        <v>13</v>
      </c>
      <c r="E128">
        <v>47</v>
      </c>
      <c r="F128" t="s">
        <v>39</v>
      </c>
      <c r="G128" t="s">
        <v>193</v>
      </c>
      <c r="H128" t="s">
        <v>28</v>
      </c>
      <c r="I128" t="s">
        <v>68</v>
      </c>
      <c r="J128" t="s">
        <v>18</v>
      </c>
      <c r="K128" t="s">
        <v>232</v>
      </c>
      <c r="L128" t="s">
        <v>125</v>
      </c>
    </row>
    <row r="129" spans="2:12" x14ac:dyDescent="0.35">
      <c r="B129" t="s">
        <v>233</v>
      </c>
      <c r="C129" t="s">
        <v>178</v>
      </c>
      <c r="D129" t="s">
        <v>24</v>
      </c>
      <c r="E129">
        <v>49</v>
      </c>
      <c r="F129" t="s">
        <v>39</v>
      </c>
      <c r="G129" t="s">
        <v>193</v>
      </c>
      <c r="H129" t="s">
        <v>28</v>
      </c>
      <c r="I129" t="s">
        <v>65</v>
      </c>
      <c r="J129" t="s">
        <v>18</v>
      </c>
      <c r="K129" t="s">
        <v>234</v>
      </c>
      <c r="L129" t="s">
        <v>115</v>
      </c>
    </row>
    <row r="130" spans="2:12" x14ac:dyDescent="0.35">
      <c r="B130" t="s">
        <v>235</v>
      </c>
      <c r="C130" t="s">
        <v>178</v>
      </c>
      <c r="D130" t="s">
        <v>24</v>
      </c>
      <c r="E130">
        <v>46</v>
      </c>
      <c r="F130" t="s">
        <v>27</v>
      </c>
      <c r="G130" t="s">
        <v>186</v>
      </c>
      <c r="H130" t="s">
        <v>28</v>
      </c>
      <c r="I130" t="s">
        <v>31</v>
      </c>
      <c r="J130" t="s">
        <v>18</v>
      </c>
      <c r="K130" t="s">
        <v>236</v>
      </c>
      <c r="L130" t="s">
        <v>125</v>
      </c>
    </row>
    <row r="131" spans="2:12" x14ac:dyDescent="0.35">
      <c r="B131" t="s">
        <v>237</v>
      </c>
      <c r="C131" t="s">
        <v>182</v>
      </c>
      <c r="D131" t="s">
        <v>13</v>
      </c>
      <c r="E131">
        <v>44</v>
      </c>
      <c r="F131" t="s">
        <v>39</v>
      </c>
      <c r="G131" t="s">
        <v>186</v>
      </c>
      <c r="H131" t="s">
        <v>40</v>
      </c>
      <c r="I131" t="s">
        <v>65</v>
      </c>
      <c r="J131" t="s">
        <v>18</v>
      </c>
      <c r="K131" t="s">
        <v>238</v>
      </c>
      <c r="L131" t="s">
        <v>115</v>
      </c>
    </row>
    <row r="132" spans="2:12" x14ac:dyDescent="0.35">
      <c r="B132" t="s">
        <v>239</v>
      </c>
      <c r="C132" t="s">
        <v>182</v>
      </c>
      <c r="D132" t="s">
        <v>13</v>
      </c>
      <c r="E132">
        <v>45</v>
      </c>
      <c r="F132" t="s">
        <v>15</v>
      </c>
      <c r="G132" t="s">
        <v>186</v>
      </c>
      <c r="H132" t="s">
        <v>40</v>
      </c>
      <c r="I132" t="s">
        <v>68</v>
      </c>
      <c r="J132" t="s">
        <v>18</v>
      </c>
      <c r="K132" t="s">
        <v>240</v>
      </c>
      <c r="L132" t="s">
        <v>117</v>
      </c>
    </row>
    <row r="133" spans="2:12" x14ac:dyDescent="0.35">
      <c r="B133" t="s">
        <v>241</v>
      </c>
      <c r="C133" t="s">
        <v>182</v>
      </c>
      <c r="D133" t="s">
        <v>13</v>
      </c>
      <c r="E133">
        <v>43</v>
      </c>
      <c r="F133" t="s">
        <v>27</v>
      </c>
      <c r="G133" t="s">
        <v>186</v>
      </c>
      <c r="H133" t="s">
        <v>28</v>
      </c>
      <c r="I133" t="s">
        <v>61</v>
      </c>
      <c r="J133" t="s">
        <v>18</v>
      </c>
      <c r="K133" t="s">
        <v>242</v>
      </c>
      <c r="L133" t="s">
        <v>116</v>
      </c>
    </row>
    <row r="134" spans="2:12" x14ac:dyDescent="0.35">
      <c r="B134" t="s">
        <v>243</v>
      </c>
      <c r="C134" t="s">
        <v>182</v>
      </c>
      <c r="D134" t="s">
        <v>13</v>
      </c>
      <c r="E134">
        <v>41</v>
      </c>
      <c r="F134" t="s">
        <v>27</v>
      </c>
      <c r="G134" t="s">
        <v>186</v>
      </c>
      <c r="H134" t="s">
        <v>28</v>
      </c>
      <c r="I134" t="s">
        <v>68</v>
      </c>
      <c r="J134" t="s">
        <v>18</v>
      </c>
      <c r="K134" t="s">
        <v>244</v>
      </c>
      <c r="L134" t="s">
        <v>116</v>
      </c>
    </row>
    <row r="135" spans="2:12" x14ac:dyDescent="0.35">
      <c r="B135" t="s">
        <v>245</v>
      </c>
      <c r="C135" t="s">
        <v>114</v>
      </c>
      <c r="D135" t="s">
        <v>13</v>
      </c>
      <c r="E135">
        <v>41</v>
      </c>
      <c r="F135" t="s">
        <v>27</v>
      </c>
      <c r="G135" t="s">
        <v>186</v>
      </c>
      <c r="H135" t="s">
        <v>28</v>
      </c>
      <c r="I135" t="s">
        <v>31</v>
      </c>
      <c r="J135" t="s">
        <v>18</v>
      </c>
      <c r="K135" t="s">
        <v>246</v>
      </c>
      <c r="L135" t="s">
        <v>129</v>
      </c>
    </row>
    <row r="136" spans="2:12" x14ac:dyDescent="0.35">
      <c r="B136" t="s">
        <v>247</v>
      </c>
      <c r="C136" t="s">
        <v>178</v>
      </c>
      <c r="D136" t="s">
        <v>24</v>
      </c>
      <c r="E136">
        <v>44</v>
      </c>
      <c r="F136" t="s">
        <v>15</v>
      </c>
      <c r="G136" t="s">
        <v>183</v>
      </c>
      <c r="H136" t="s">
        <v>40</v>
      </c>
      <c r="I136" t="s">
        <v>65</v>
      </c>
      <c r="J136" t="s">
        <v>18</v>
      </c>
      <c r="K136" t="s">
        <v>248</v>
      </c>
      <c r="L136" t="s">
        <v>115</v>
      </c>
    </row>
    <row r="137" spans="2:12" x14ac:dyDescent="0.35">
      <c r="B137" t="s">
        <v>249</v>
      </c>
      <c r="C137" t="s">
        <v>182</v>
      </c>
      <c r="D137" t="s">
        <v>13</v>
      </c>
      <c r="E137">
        <v>36</v>
      </c>
      <c r="F137" t="s">
        <v>39</v>
      </c>
      <c r="G137" t="s">
        <v>207</v>
      </c>
      <c r="H137" t="s">
        <v>40</v>
      </c>
      <c r="I137" t="s">
        <v>61</v>
      </c>
      <c r="J137" t="s">
        <v>18</v>
      </c>
      <c r="K137" t="s">
        <v>250</v>
      </c>
      <c r="L137" t="s">
        <v>117</v>
      </c>
    </row>
    <row r="138" spans="2:12" x14ac:dyDescent="0.35">
      <c r="B138" t="s">
        <v>251</v>
      </c>
      <c r="C138" t="s">
        <v>178</v>
      </c>
      <c r="D138" t="s">
        <v>24</v>
      </c>
      <c r="E138">
        <v>44</v>
      </c>
      <c r="F138" t="s">
        <v>27</v>
      </c>
      <c r="G138" t="s">
        <v>186</v>
      </c>
      <c r="H138" t="s">
        <v>28</v>
      </c>
      <c r="I138" t="s">
        <v>68</v>
      </c>
      <c r="J138" t="s">
        <v>18</v>
      </c>
      <c r="K138" t="s">
        <v>252</v>
      </c>
      <c r="L138" t="s">
        <v>127</v>
      </c>
    </row>
    <row r="139" spans="2:12" x14ac:dyDescent="0.35">
      <c r="B139" t="s">
        <v>253</v>
      </c>
      <c r="C139" t="s">
        <v>178</v>
      </c>
      <c r="D139" t="s">
        <v>24</v>
      </c>
      <c r="E139">
        <v>36</v>
      </c>
      <c r="F139" t="s">
        <v>27</v>
      </c>
      <c r="G139" t="s">
        <v>186</v>
      </c>
      <c r="H139" t="s">
        <v>40</v>
      </c>
      <c r="I139" t="s">
        <v>65</v>
      </c>
      <c r="J139" t="s">
        <v>18</v>
      </c>
      <c r="K139" t="s">
        <v>254</v>
      </c>
      <c r="L139" t="s">
        <v>115</v>
      </c>
    </row>
    <row r="140" spans="2:12" x14ac:dyDescent="0.35">
      <c r="B140" t="s">
        <v>255</v>
      </c>
      <c r="C140" t="s">
        <v>182</v>
      </c>
      <c r="D140" t="s">
        <v>13</v>
      </c>
      <c r="E140">
        <v>45</v>
      </c>
      <c r="F140" t="s">
        <v>27</v>
      </c>
      <c r="G140" t="s">
        <v>186</v>
      </c>
      <c r="H140" t="s">
        <v>40</v>
      </c>
      <c r="I140" t="s">
        <v>61</v>
      </c>
      <c r="J140" t="s">
        <v>18</v>
      </c>
      <c r="K140" t="s">
        <v>256</v>
      </c>
      <c r="L140" t="s">
        <v>116</v>
      </c>
    </row>
    <row r="141" spans="2:12" x14ac:dyDescent="0.35">
      <c r="B141" t="s">
        <v>257</v>
      </c>
      <c r="C141" t="s">
        <v>178</v>
      </c>
      <c r="D141" t="s">
        <v>24</v>
      </c>
      <c r="E141">
        <v>51</v>
      </c>
      <c r="F141" t="s">
        <v>27</v>
      </c>
      <c r="G141" t="s">
        <v>186</v>
      </c>
      <c r="H141" t="s">
        <v>28</v>
      </c>
      <c r="I141" t="s">
        <v>31</v>
      </c>
      <c r="J141" t="s">
        <v>18</v>
      </c>
      <c r="K141" t="s">
        <v>258</v>
      </c>
      <c r="L141" t="s">
        <v>149</v>
      </c>
    </row>
    <row r="142" spans="2:12" x14ac:dyDescent="0.35">
      <c r="B142" t="s">
        <v>259</v>
      </c>
      <c r="C142" t="s">
        <v>178</v>
      </c>
      <c r="D142" t="s">
        <v>24</v>
      </c>
      <c r="E142">
        <v>35</v>
      </c>
      <c r="F142" t="s">
        <v>39</v>
      </c>
      <c r="G142" t="s">
        <v>260</v>
      </c>
      <c r="H142" t="s">
        <v>40</v>
      </c>
      <c r="I142" t="s">
        <v>65</v>
      </c>
      <c r="J142" t="s">
        <v>18</v>
      </c>
      <c r="K142" t="s">
        <v>261</v>
      </c>
      <c r="L142" t="s">
        <v>129</v>
      </c>
    </row>
    <row r="143" spans="2:12" x14ac:dyDescent="0.35">
      <c r="B143" t="s">
        <v>262</v>
      </c>
      <c r="C143" t="s">
        <v>182</v>
      </c>
      <c r="D143" t="s">
        <v>13</v>
      </c>
      <c r="E143">
        <v>49</v>
      </c>
      <c r="F143" t="s">
        <v>39</v>
      </c>
      <c r="G143" t="s">
        <v>193</v>
      </c>
      <c r="H143" t="s">
        <v>28</v>
      </c>
      <c r="I143" t="s">
        <v>68</v>
      </c>
      <c r="J143" t="s">
        <v>18</v>
      </c>
      <c r="K143" t="s">
        <v>263</v>
      </c>
      <c r="L143" t="s">
        <v>125</v>
      </c>
    </row>
    <row r="144" spans="2:12" x14ac:dyDescent="0.35">
      <c r="B144" t="s">
        <v>264</v>
      </c>
      <c r="C144" t="s">
        <v>182</v>
      </c>
      <c r="D144" t="s">
        <v>13</v>
      </c>
      <c r="E144">
        <v>37</v>
      </c>
      <c r="F144" t="s">
        <v>39</v>
      </c>
      <c r="G144" t="s">
        <v>265</v>
      </c>
      <c r="H144" t="s">
        <v>28</v>
      </c>
      <c r="I144" t="s">
        <v>42</v>
      </c>
      <c r="J144" t="s">
        <v>18</v>
      </c>
      <c r="K144" t="s">
        <v>266</v>
      </c>
      <c r="L144" t="s">
        <v>115</v>
      </c>
    </row>
    <row r="145" spans="2:12" x14ac:dyDescent="0.35">
      <c r="B145" t="s">
        <v>267</v>
      </c>
      <c r="C145" t="s">
        <v>178</v>
      </c>
      <c r="D145" t="s">
        <v>24</v>
      </c>
      <c r="E145">
        <v>37</v>
      </c>
      <c r="F145" t="s">
        <v>39</v>
      </c>
      <c r="G145" t="s">
        <v>268</v>
      </c>
      <c r="H145" t="s">
        <v>40</v>
      </c>
      <c r="I145" t="s">
        <v>68</v>
      </c>
      <c r="J145" t="s">
        <v>18</v>
      </c>
      <c r="K145" t="s">
        <v>269</v>
      </c>
      <c r="L145" t="s">
        <v>116</v>
      </c>
    </row>
    <row r="146" spans="2:12" x14ac:dyDescent="0.35">
      <c r="B146" t="s">
        <v>270</v>
      </c>
      <c r="C146" t="s">
        <v>178</v>
      </c>
      <c r="D146" t="s">
        <v>24</v>
      </c>
      <c r="E146">
        <v>48</v>
      </c>
      <c r="F146" t="s">
        <v>15</v>
      </c>
      <c r="G146" t="s">
        <v>183</v>
      </c>
      <c r="H146" t="s">
        <v>40</v>
      </c>
      <c r="I146" t="s">
        <v>53</v>
      </c>
      <c r="J146" t="s">
        <v>18</v>
      </c>
      <c r="K146" t="s">
        <v>271</v>
      </c>
      <c r="L146" t="s">
        <v>123</v>
      </c>
    </row>
    <row r="147" spans="2:12" x14ac:dyDescent="0.35">
      <c r="B147" t="s">
        <v>272</v>
      </c>
      <c r="C147" t="s">
        <v>178</v>
      </c>
      <c r="D147" t="s">
        <v>24</v>
      </c>
      <c r="E147">
        <v>38</v>
      </c>
      <c r="F147" t="s">
        <v>27</v>
      </c>
      <c r="G147" t="s">
        <v>186</v>
      </c>
      <c r="H147" t="s">
        <v>40</v>
      </c>
      <c r="I147" t="s">
        <v>19</v>
      </c>
      <c r="J147" t="s">
        <v>18</v>
      </c>
      <c r="K147" t="s">
        <v>273</v>
      </c>
      <c r="L147" t="s">
        <v>129</v>
      </c>
    </row>
    <row r="148" spans="2:12" x14ac:dyDescent="0.35">
      <c r="B148" t="s">
        <v>274</v>
      </c>
      <c r="C148" t="s">
        <v>178</v>
      </c>
      <c r="D148" t="s">
        <v>24</v>
      </c>
      <c r="E148">
        <v>60</v>
      </c>
      <c r="F148" t="s">
        <v>27</v>
      </c>
      <c r="G148" t="s">
        <v>186</v>
      </c>
      <c r="H148" t="s">
        <v>28</v>
      </c>
      <c r="I148" t="s">
        <v>65</v>
      </c>
      <c r="J148" t="s">
        <v>18</v>
      </c>
      <c r="K148" t="s">
        <v>275</v>
      </c>
      <c r="L148" t="s">
        <v>129</v>
      </c>
    </row>
    <row r="149" spans="2:12" x14ac:dyDescent="0.35">
      <c r="B149" t="s">
        <v>276</v>
      </c>
      <c r="C149" t="s">
        <v>178</v>
      </c>
      <c r="D149" t="s">
        <v>24</v>
      </c>
      <c r="E149">
        <v>36</v>
      </c>
      <c r="F149" t="s">
        <v>39</v>
      </c>
      <c r="G149" t="s">
        <v>193</v>
      </c>
      <c r="H149" t="s">
        <v>40</v>
      </c>
      <c r="I149" t="s">
        <v>65</v>
      </c>
      <c r="J149" t="s">
        <v>18</v>
      </c>
      <c r="K149" t="s">
        <v>277</v>
      </c>
      <c r="L149" t="s">
        <v>115</v>
      </c>
    </row>
    <row r="150" spans="2:12" x14ac:dyDescent="0.35">
      <c r="B150" t="s">
        <v>278</v>
      </c>
      <c r="C150" t="s">
        <v>178</v>
      </c>
      <c r="D150" t="s">
        <v>24</v>
      </c>
      <c r="E150">
        <v>46</v>
      </c>
      <c r="F150" t="s">
        <v>39</v>
      </c>
      <c r="G150" t="s">
        <v>279</v>
      </c>
      <c r="H150" t="s">
        <v>28</v>
      </c>
      <c r="I150" t="s">
        <v>68</v>
      </c>
      <c r="J150" t="s">
        <v>18</v>
      </c>
      <c r="K150" t="s">
        <v>280</v>
      </c>
      <c r="L150" t="s">
        <v>116</v>
      </c>
    </row>
    <row r="151" spans="2:12" x14ac:dyDescent="0.35">
      <c r="B151" t="s">
        <v>281</v>
      </c>
      <c r="C151" t="s">
        <v>182</v>
      </c>
      <c r="D151" t="s">
        <v>13</v>
      </c>
      <c r="E151">
        <v>49</v>
      </c>
      <c r="F151" t="s">
        <v>39</v>
      </c>
      <c r="G151" t="s">
        <v>207</v>
      </c>
      <c r="H151" t="s">
        <v>28</v>
      </c>
      <c r="I151" t="s">
        <v>68</v>
      </c>
      <c r="J151" t="s">
        <v>18</v>
      </c>
      <c r="K151" t="s">
        <v>282</v>
      </c>
      <c r="L151" t="s">
        <v>120</v>
      </c>
    </row>
    <row r="152" spans="2:12" x14ac:dyDescent="0.35">
      <c r="B152" t="s">
        <v>283</v>
      </c>
      <c r="C152" t="s">
        <v>210</v>
      </c>
      <c r="D152" t="s">
        <v>24</v>
      </c>
      <c r="E152">
        <v>38</v>
      </c>
      <c r="F152" t="s">
        <v>39</v>
      </c>
      <c r="G152" t="s">
        <v>260</v>
      </c>
      <c r="H152" t="s">
        <v>28</v>
      </c>
      <c r="I152" t="s">
        <v>65</v>
      </c>
      <c r="J152" t="s">
        <v>18</v>
      </c>
      <c r="K152" t="s">
        <v>284</v>
      </c>
      <c r="L152" t="s">
        <v>115</v>
      </c>
    </row>
    <row r="153" spans="2:12" x14ac:dyDescent="0.35">
      <c r="B153" t="s">
        <v>285</v>
      </c>
      <c r="C153" t="s">
        <v>178</v>
      </c>
      <c r="D153" t="s">
        <v>24</v>
      </c>
      <c r="E153">
        <v>50</v>
      </c>
      <c r="F153" t="s">
        <v>39</v>
      </c>
      <c r="G153" t="s">
        <v>207</v>
      </c>
      <c r="H153" t="s">
        <v>28</v>
      </c>
      <c r="I153" t="s">
        <v>31</v>
      </c>
      <c r="J153" t="s">
        <v>30</v>
      </c>
      <c r="K153" t="s">
        <v>286</v>
      </c>
      <c r="L153" t="s">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W1000"/>
  <sheetViews>
    <sheetView topLeftCell="C28" workbookViewId="0">
      <selection activeCell="F50" sqref="F50"/>
    </sheetView>
  </sheetViews>
  <sheetFormatPr defaultColWidth="14.453125" defaultRowHeight="15" customHeight="1" x14ac:dyDescent="0.35"/>
  <cols>
    <col min="1" max="1" width="12.08984375" customWidth="1"/>
    <col min="2" max="2" width="15.08984375" customWidth="1"/>
    <col min="3" max="3" width="16.08984375" customWidth="1"/>
    <col min="4" max="4" width="19.08984375" customWidth="1"/>
    <col min="5" max="5" width="15.453125" customWidth="1"/>
    <col min="6" max="6" width="28.54296875" customWidth="1"/>
    <col min="7" max="7" width="12" customWidth="1"/>
    <col min="8" max="8" width="15.26953125" customWidth="1"/>
    <col min="9" max="9" width="8" customWidth="1"/>
    <col min="10" max="10" width="15.7265625" customWidth="1"/>
    <col min="11" max="11" width="19.81640625" customWidth="1"/>
    <col min="12" max="12" width="16.453125" customWidth="1"/>
    <col min="13" max="13" width="20" customWidth="1"/>
    <col min="14" max="14" width="19.54296875" customWidth="1"/>
    <col min="15" max="15" width="14.453125" customWidth="1"/>
    <col min="16" max="16" width="26" customWidth="1"/>
    <col min="17" max="17" width="22.54296875" customWidth="1"/>
    <col min="18" max="18" width="17.26953125" customWidth="1"/>
    <col min="19" max="19" width="13.81640625" customWidth="1"/>
    <col min="20" max="20" width="17" customWidth="1"/>
    <col min="21" max="21" width="13.08984375" customWidth="1"/>
    <col min="22" max="22" width="17" customWidth="1"/>
    <col min="23" max="23" width="33.453125" customWidth="1"/>
    <col min="24" max="26" width="8.7265625" customWidth="1"/>
  </cols>
  <sheetData>
    <row r="1" spans="1:23" ht="26.25" customHeight="1" x14ac:dyDescent="0.45">
      <c r="A1" s="6" t="s">
        <v>302</v>
      </c>
      <c r="B1" s="6" t="s">
        <v>109</v>
      </c>
      <c r="C1" s="6" t="s">
        <v>303</v>
      </c>
      <c r="D1" s="6" t="s">
        <v>304</v>
      </c>
      <c r="E1" s="6" t="s">
        <v>305</v>
      </c>
      <c r="F1" s="6" t="s">
        <v>108</v>
      </c>
      <c r="G1" s="6" t="s">
        <v>0</v>
      </c>
      <c r="H1" s="6" t="s">
        <v>306</v>
      </c>
      <c r="I1" s="6" t="s">
        <v>110</v>
      </c>
      <c r="J1" s="6" t="s">
        <v>2</v>
      </c>
      <c r="K1" s="6" t="s">
        <v>3</v>
      </c>
      <c r="L1" s="6" t="s">
        <v>111</v>
      </c>
      <c r="M1" s="6" t="s">
        <v>4</v>
      </c>
      <c r="N1" s="6" t="s">
        <v>112</v>
      </c>
      <c r="O1" s="6" t="s">
        <v>1</v>
      </c>
      <c r="P1" s="6" t="s">
        <v>6</v>
      </c>
      <c r="Q1" s="6" t="s">
        <v>7</v>
      </c>
      <c r="R1" s="6" t="s">
        <v>11</v>
      </c>
      <c r="S1" s="6" t="s">
        <v>8</v>
      </c>
      <c r="T1" s="6" t="s">
        <v>12</v>
      </c>
      <c r="U1" s="6" t="s">
        <v>5</v>
      </c>
      <c r="V1" s="6" t="s">
        <v>307</v>
      </c>
      <c r="W1" s="6" t="s">
        <v>308</v>
      </c>
    </row>
    <row r="2" spans="1:23" ht="14.5" x14ac:dyDescent="0.35">
      <c r="A2" s="1" t="s">
        <v>309</v>
      </c>
      <c r="B2" s="1" t="s">
        <v>182</v>
      </c>
      <c r="C2" s="1" t="s">
        <v>310</v>
      </c>
      <c r="D2" s="1" t="s">
        <v>311</v>
      </c>
      <c r="E2" s="1" t="s">
        <v>312</v>
      </c>
      <c r="F2" s="1" t="s">
        <v>159</v>
      </c>
      <c r="G2" s="1" t="s">
        <v>13</v>
      </c>
      <c r="H2" s="7">
        <v>21251</v>
      </c>
      <c r="I2" s="1">
        <v>63</v>
      </c>
      <c r="J2" s="1" t="s">
        <v>38</v>
      </c>
      <c r="K2" s="1" t="s">
        <v>39</v>
      </c>
      <c r="L2" s="1" t="s">
        <v>186</v>
      </c>
      <c r="M2" s="1" t="s">
        <v>28</v>
      </c>
      <c r="N2" s="1" t="s">
        <v>313</v>
      </c>
      <c r="O2" s="7">
        <v>30864</v>
      </c>
      <c r="P2" s="1" t="s">
        <v>18</v>
      </c>
      <c r="Q2" s="1" t="s">
        <v>57</v>
      </c>
      <c r="R2" s="1" t="s">
        <v>62</v>
      </c>
      <c r="S2" s="1" t="s">
        <v>20</v>
      </c>
      <c r="T2" s="1" t="s">
        <v>44</v>
      </c>
      <c r="U2" s="1" t="s">
        <v>17</v>
      </c>
      <c r="V2" s="1" t="s">
        <v>314</v>
      </c>
      <c r="W2" s="1" t="s">
        <v>315</v>
      </c>
    </row>
    <row r="3" spans="1:23" ht="14.5" x14ac:dyDescent="0.35">
      <c r="A3" s="1" t="s">
        <v>316</v>
      </c>
      <c r="B3" s="1" t="s">
        <v>178</v>
      </c>
      <c r="C3" s="1" t="s">
        <v>317</v>
      </c>
      <c r="D3" s="1" t="s">
        <v>318</v>
      </c>
      <c r="E3" s="1" t="s">
        <v>319</v>
      </c>
      <c r="F3" s="1" t="s">
        <v>320</v>
      </c>
      <c r="G3" s="1" t="s">
        <v>24</v>
      </c>
      <c r="H3" s="7">
        <v>24535</v>
      </c>
      <c r="I3" s="1">
        <v>54</v>
      </c>
      <c r="J3" s="1" t="s">
        <v>38</v>
      </c>
      <c r="K3" s="1" t="s">
        <v>39</v>
      </c>
      <c r="L3" s="1" t="s">
        <v>186</v>
      </c>
      <c r="M3" s="1" t="s">
        <v>28</v>
      </c>
      <c r="N3" s="1" t="s">
        <v>321</v>
      </c>
      <c r="O3" s="7">
        <v>33147</v>
      </c>
      <c r="P3" s="1" t="s">
        <v>18</v>
      </c>
      <c r="Q3" s="1" t="s">
        <v>68</v>
      </c>
      <c r="R3" s="1" t="s">
        <v>50</v>
      </c>
      <c r="S3" s="1" t="s">
        <v>32</v>
      </c>
      <c r="T3" s="1" t="s">
        <v>23</v>
      </c>
      <c r="U3" s="1" t="s">
        <v>29</v>
      </c>
      <c r="V3" s="1" t="s">
        <v>322</v>
      </c>
      <c r="W3" s="1" t="s">
        <v>323</v>
      </c>
    </row>
    <row r="4" spans="1:23" ht="14.5" x14ac:dyDescent="0.35">
      <c r="A4" s="1" t="s">
        <v>324</v>
      </c>
      <c r="B4" s="1" t="s">
        <v>114</v>
      </c>
      <c r="C4" s="1" t="s">
        <v>325</v>
      </c>
      <c r="D4" s="1" t="s">
        <v>326</v>
      </c>
      <c r="E4" s="1" t="s">
        <v>327</v>
      </c>
      <c r="F4" s="1" t="s">
        <v>328</v>
      </c>
      <c r="G4" s="1" t="s">
        <v>13</v>
      </c>
      <c r="H4" s="7">
        <v>23478</v>
      </c>
      <c r="I4" s="1">
        <v>57</v>
      </c>
      <c r="J4" s="1" t="s">
        <v>38</v>
      </c>
      <c r="K4" s="1" t="s">
        <v>39</v>
      </c>
      <c r="L4" s="1" t="s">
        <v>329</v>
      </c>
      <c r="M4" s="1" t="s">
        <v>28</v>
      </c>
      <c r="N4" s="1" t="s">
        <v>330</v>
      </c>
      <c r="O4" s="7">
        <v>33604</v>
      </c>
      <c r="P4" s="1" t="s">
        <v>18</v>
      </c>
      <c r="Q4" s="1" t="s">
        <v>68</v>
      </c>
      <c r="R4" s="1" t="s">
        <v>22</v>
      </c>
      <c r="S4" s="1" t="s">
        <v>32</v>
      </c>
      <c r="T4" s="1" t="s">
        <v>35</v>
      </c>
      <c r="U4" s="1" t="s">
        <v>41</v>
      </c>
      <c r="V4" s="1" t="s">
        <v>331</v>
      </c>
      <c r="W4" s="1" t="s">
        <v>332</v>
      </c>
    </row>
    <row r="5" spans="1:23" ht="14.5" x14ac:dyDescent="0.35">
      <c r="A5" s="1" t="s">
        <v>333</v>
      </c>
      <c r="B5" s="1" t="s">
        <v>182</v>
      </c>
      <c r="C5" s="1" t="s">
        <v>334</v>
      </c>
      <c r="D5" s="1" t="s">
        <v>335</v>
      </c>
      <c r="E5" s="1" t="s">
        <v>336</v>
      </c>
      <c r="F5" s="1" t="s">
        <v>337</v>
      </c>
      <c r="G5" s="1" t="s">
        <v>13</v>
      </c>
      <c r="H5" s="7">
        <v>24471</v>
      </c>
      <c r="I5" s="1">
        <v>54</v>
      </c>
      <c r="J5" s="1" t="s">
        <v>38</v>
      </c>
      <c r="K5" s="1" t="s">
        <v>39</v>
      </c>
      <c r="L5" s="1" t="s">
        <v>193</v>
      </c>
      <c r="M5" s="1" t="s">
        <v>28</v>
      </c>
      <c r="N5" s="1" t="s">
        <v>338</v>
      </c>
      <c r="O5" s="7">
        <v>33786</v>
      </c>
      <c r="P5" s="1" t="s">
        <v>18</v>
      </c>
      <c r="Q5" s="1" t="s">
        <v>68</v>
      </c>
      <c r="R5" s="1" t="s">
        <v>20</v>
      </c>
      <c r="S5" s="1" t="s">
        <v>20</v>
      </c>
      <c r="T5" s="1" t="s">
        <v>35</v>
      </c>
      <c r="U5" s="1" t="s">
        <v>41</v>
      </c>
      <c r="V5" s="1" t="s">
        <v>339</v>
      </c>
      <c r="W5" s="1" t="s">
        <v>340</v>
      </c>
    </row>
    <row r="6" spans="1:23" ht="14.5" x14ac:dyDescent="0.35">
      <c r="A6" s="1" t="s">
        <v>341</v>
      </c>
      <c r="B6" s="1" t="s">
        <v>182</v>
      </c>
      <c r="C6" s="1" t="s">
        <v>342</v>
      </c>
      <c r="D6" s="1" t="s">
        <v>343</v>
      </c>
      <c r="E6" s="1" t="s">
        <v>344</v>
      </c>
      <c r="F6" s="1" t="s">
        <v>181</v>
      </c>
      <c r="G6" s="1" t="s">
        <v>13</v>
      </c>
      <c r="H6" s="7">
        <v>23774</v>
      </c>
      <c r="I6" s="1">
        <v>56</v>
      </c>
      <c r="J6" s="1" t="s">
        <v>38</v>
      </c>
      <c r="K6" s="1" t="s">
        <v>39</v>
      </c>
      <c r="L6" s="1" t="s">
        <v>183</v>
      </c>
      <c r="M6" s="1" t="s">
        <v>28</v>
      </c>
      <c r="N6" s="1" t="s">
        <v>184</v>
      </c>
      <c r="O6" s="7">
        <v>33858</v>
      </c>
      <c r="P6" s="1" t="s">
        <v>30</v>
      </c>
      <c r="Q6" s="1" t="s">
        <v>19</v>
      </c>
      <c r="R6" s="1" t="s">
        <v>34</v>
      </c>
      <c r="S6" s="1" t="s">
        <v>32</v>
      </c>
      <c r="T6" s="1" t="s">
        <v>35</v>
      </c>
      <c r="U6" s="1" t="s">
        <v>46</v>
      </c>
      <c r="V6" s="1" t="s">
        <v>345</v>
      </c>
      <c r="W6" s="1" t="s">
        <v>346</v>
      </c>
    </row>
    <row r="7" spans="1:23" ht="14.5" x14ac:dyDescent="0.35">
      <c r="A7" s="1" t="s">
        <v>347</v>
      </c>
      <c r="B7" s="1" t="s">
        <v>178</v>
      </c>
      <c r="C7" s="1" t="s">
        <v>348</v>
      </c>
      <c r="D7" s="1" t="s">
        <v>349</v>
      </c>
      <c r="E7" s="1" t="s">
        <v>350</v>
      </c>
      <c r="F7" s="1" t="s">
        <v>153</v>
      </c>
      <c r="G7" s="1" t="s">
        <v>24</v>
      </c>
      <c r="H7" s="7">
        <v>25148</v>
      </c>
      <c r="I7" s="1">
        <v>52</v>
      </c>
      <c r="J7" s="1" t="s">
        <v>38</v>
      </c>
      <c r="K7" s="1" t="s">
        <v>27</v>
      </c>
      <c r="L7" s="1" t="s">
        <v>186</v>
      </c>
      <c r="M7" s="1" t="s">
        <v>28</v>
      </c>
      <c r="N7" s="1" t="s">
        <v>351</v>
      </c>
      <c r="O7" s="7">
        <v>33929</v>
      </c>
      <c r="P7" s="1" t="s">
        <v>18</v>
      </c>
      <c r="Q7" s="1" t="s">
        <v>47</v>
      </c>
      <c r="R7" s="1" t="s">
        <v>20</v>
      </c>
      <c r="S7" s="1" t="s">
        <v>20</v>
      </c>
      <c r="T7" s="1" t="s">
        <v>44</v>
      </c>
      <c r="U7" s="1" t="s">
        <v>46</v>
      </c>
      <c r="V7" s="1" t="s">
        <v>352</v>
      </c>
      <c r="W7" s="1" t="s">
        <v>353</v>
      </c>
    </row>
    <row r="8" spans="1:23" ht="14.5" x14ac:dyDescent="0.35">
      <c r="A8" s="1" t="s">
        <v>354</v>
      </c>
      <c r="B8" s="1" t="s">
        <v>178</v>
      </c>
      <c r="C8" s="1" t="s">
        <v>355</v>
      </c>
      <c r="D8" s="1" t="s">
        <v>356</v>
      </c>
      <c r="E8" s="1" t="s">
        <v>357</v>
      </c>
      <c r="F8" s="1" t="s">
        <v>257</v>
      </c>
      <c r="G8" s="1" t="s">
        <v>24</v>
      </c>
      <c r="H8" s="7">
        <v>25769</v>
      </c>
      <c r="I8" s="1">
        <v>51</v>
      </c>
      <c r="J8" s="1" t="s">
        <v>38</v>
      </c>
      <c r="K8" s="1" t="s">
        <v>27</v>
      </c>
      <c r="L8" s="1" t="s">
        <v>186</v>
      </c>
      <c r="M8" s="1" t="s">
        <v>28</v>
      </c>
      <c r="N8" s="1" t="s">
        <v>258</v>
      </c>
      <c r="O8" s="7">
        <v>34366</v>
      </c>
      <c r="P8" s="1" t="s">
        <v>18</v>
      </c>
      <c r="Q8" s="1" t="s">
        <v>31</v>
      </c>
      <c r="R8" s="1" t="s">
        <v>34</v>
      </c>
      <c r="S8" s="1" t="s">
        <v>32</v>
      </c>
      <c r="T8" s="1" t="s">
        <v>44</v>
      </c>
      <c r="U8" s="1" t="s">
        <v>46</v>
      </c>
      <c r="V8" s="1" t="s">
        <v>358</v>
      </c>
      <c r="W8" s="1" t="s">
        <v>359</v>
      </c>
    </row>
    <row r="9" spans="1:23" ht="14.5" x14ac:dyDescent="0.35">
      <c r="A9" s="1" t="s">
        <v>360</v>
      </c>
      <c r="B9" s="1" t="s">
        <v>182</v>
      </c>
      <c r="C9" s="1" t="s">
        <v>361</v>
      </c>
      <c r="D9" s="1" t="s">
        <v>362</v>
      </c>
      <c r="E9" s="1" t="s">
        <v>363</v>
      </c>
      <c r="F9" s="1" t="s">
        <v>148</v>
      </c>
      <c r="G9" s="1" t="s">
        <v>13</v>
      </c>
      <c r="H9" s="7">
        <v>25032</v>
      </c>
      <c r="I9" s="1">
        <v>53</v>
      </c>
      <c r="J9" s="1" t="s">
        <v>38</v>
      </c>
      <c r="K9" s="1" t="s">
        <v>39</v>
      </c>
      <c r="L9" s="1" t="s">
        <v>183</v>
      </c>
      <c r="M9" s="1" t="s">
        <v>28</v>
      </c>
      <c r="N9" s="1" t="s">
        <v>364</v>
      </c>
      <c r="O9" s="7">
        <v>34503</v>
      </c>
      <c r="P9" s="1" t="s">
        <v>30</v>
      </c>
      <c r="Q9" s="1" t="s">
        <v>68</v>
      </c>
      <c r="R9" s="1" t="s">
        <v>50</v>
      </c>
      <c r="S9" s="1" t="s">
        <v>32</v>
      </c>
      <c r="T9" s="1" t="s">
        <v>23</v>
      </c>
      <c r="U9" s="1" t="s">
        <v>52</v>
      </c>
      <c r="V9" s="1" t="s">
        <v>365</v>
      </c>
      <c r="W9" s="1" t="s">
        <v>366</v>
      </c>
    </row>
    <row r="10" spans="1:23" ht="14.5" x14ac:dyDescent="0.35">
      <c r="A10" s="1" t="s">
        <v>367</v>
      </c>
      <c r="B10" s="1" t="s">
        <v>182</v>
      </c>
      <c r="C10" s="1" t="s">
        <v>368</v>
      </c>
      <c r="D10" s="1" t="s">
        <v>369</v>
      </c>
      <c r="E10" s="1" t="s">
        <v>370</v>
      </c>
      <c r="F10" s="15" t="s">
        <v>371</v>
      </c>
      <c r="G10" s="1" t="s">
        <v>13</v>
      </c>
      <c r="H10" s="7">
        <v>25450</v>
      </c>
      <c r="I10" s="1">
        <v>51</v>
      </c>
      <c r="J10" s="1" t="s">
        <v>38</v>
      </c>
      <c r="K10" s="1" t="s">
        <v>15</v>
      </c>
      <c r="L10" s="1" t="s">
        <v>183</v>
      </c>
      <c r="M10" s="1" t="s">
        <v>28</v>
      </c>
      <c r="N10" s="1" t="s">
        <v>372</v>
      </c>
      <c r="O10" s="7">
        <v>34950</v>
      </c>
      <c r="P10" s="1" t="s">
        <v>18</v>
      </c>
      <c r="Q10" s="1" t="s">
        <v>42</v>
      </c>
      <c r="R10" s="1" t="s">
        <v>50</v>
      </c>
      <c r="S10" s="1" t="s">
        <v>32</v>
      </c>
      <c r="T10" s="1" t="s">
        <v>23</v>
      </c>
      <c r="U10" s="1" t="s">
        <v>17</v>
      </c>
      <c r="V10" s="1" t="s">
        <v>373</v>
      </c>
      <c r="W10" s="1" t="s">
        <v>374</v>
      </c>
    </row>
    <row r="11" spans="1:23" ht="14.5" x14ac:dyDescent="0.35">
      <c r="A11" s="1" t="s">
        <v>375</v>
      </c>
      <c r="B11" s="1" t="s">
        <v>178</v>
      </c>
      <c r="C11" s="1" t="s">
        <v>376</v>
      </c>
      <c r="D11" s="1" t="s">
        <v>377</v>
      </c>
      <c r="E11" s="1" t="s">
        <v>378</v>
      </c>
      <c r="F11" s="1" t="s">
        <v>162</v>
      </c>
      <c r="G11" s="1" t="s">
        <v>24</v>
      </c>
      <c r="H11" s="7">
        <v>24998</v>
      </c>
      <c r="I11" s="1">
        <v>53</v>
      </c>
      <c r="J11" s="1" t="s">
        <v>38</v>
      </c>
      <c r="K11" s="1" t="s">
        <v>27</v>
      </c>
      <c r="L11" s="1" t="s">
        <v>186</v>
      </c>
      <c r="M11" s="1" t="s">
        <v>28</v>
      </c>
      <c r="N11" s="1" t="s">
        <v>379</v>
      </c>
      <c r="O11" s="7">
        <v>35460</v>
      </c>
      <c r="P11" s="1" t="s">
        <v>18</v>
      </c>
      <c r="Q11" s="1" t="s">
        <v>57</v>
      </c>
      <c r="R11" s="1" t="s">
        <v>69</v>
      </c>
      <c r="S11" s="1" t="s">
        <v>20</v>
      </c>
      <c r="T11" s="1" t="s">
        <v>44</v>
      </c>
      <c r="U11" s="1" t="s">
        <v>46</v>
      </c>
      <c r="V11" s="1" t="s">
        <v>380</v>
      </c>
      <c r="W11" s="1" t="s">
        <v>381</v>
      </c>
    </row>
    <row r="12" spans="1:23" ht="14.5" x14ac:dyDescent="0.35">
      <c r="A12" s="1" t="s">
        <v>382</v>
      </c>
      <c r="B12" s="1" t="s">
        <v>178</v>
      </c>
      <c r="C12" s="1" t="s">
        <v>383</v>
      </c>
      <c r="D12" s="1" t="s">
        <v>377</v>
      </c>
      <c r="E12" s="1" t="s">
        <v>384</v>
      </c>
      <c r="F12" s="1" t="s">
        <v>385</v>
      </c>
      <c r="G12" s="1" t="s">
        <v>24</v>
      </c>
      <c r="H12" s="7">
        <v>24927</v>
      </c>
      <c r="I12" s="1">
        <v>53</v>
      </c>
      <c r="J12" s="1" t="s">
        <v>38</v>
      </c>
      <c r="K12" s="1" t="s">
        <v>27</v>
      </c>
      <c r="L12" s="1" t="s">
        <v>186</v>
      </c>
      <c r="M12" s="1" t="s">
        <v>28</v>
      </c>
      <c r="N12" s="1" t="s">
        <v>386</v>
      </c>
      <c r="O12" s="7">
        <v>35462</v>
      </c>
      <c r="P12" s="1" t="s">
        <v>18</v>
      </c>
      <c r="Q12" s="1" t="s">
        <v>19</v>
      </c>
      <c r="R12" s="1" t="s">
        <v>20</v>
      </c>
      <c r="S12" s="1" t="s">
        <v>20</v>
      </c>
      <c r="T12" s="1" t="s">
        <v>44</v>
      </c>
      <c r="U12" s="1" t="s">
        <v>46</v>
      </c>
      <c r="V12" s="1" t="s">
        <v>387</v>
      </c>
      <c r="W12" s="1" t="s">
        <v>388</v>
      </c>
    </row>
    <row r="13" spans="1:23" ht="14.5" x14ac:dyDescent="0.35">
      <c r="A13" s="1" t="s">
        <v>389</v>
      </c>
      <c r="B13" s="1" t="s">
        <v>178</v>
      </c>
      <c r="C13" s="1" t="s">
        <v>390</v>
      </c>
      <c r="D13" s="1" t="s">
        <v>391</v>
      </c>
      <c r="E13" s="1" t="s">
        <v>392</v>
      </c>
      <c r="F13" s="1" t="s">
        <v>393</v>
      </c>
      <c r="G13" s="1" t="s">
        <v>24</v>
      </c>
      <c r="H13" s="7">
        <v>25360</v>
      </c>
      <c r="I13" s="1">
        <v>52</v>
      </c>
      <c r="J13" s="1" t="s">
        <v>38</v>
      </c>
      <c r="K13" s="1" t="s">
        <v>27</v>
      </c>
      <c r="L13" s="1" t="s">
        <v>186</v>
      </c>
      <c r="M13" s="1" t="s">
        <v>28</v>
      </c>
      <c r="N13" s="1" t="s">
        <v>394</v>
      </c>
      <c r="O13" s="7">
        <v>35713</v>
      </c>
      <c r="P13" s="1" t="s">
        <v>18</v>
      </c>
      <c r="Q13" s="1" t="s">
        <v>65</v>
      </c>
      <c r="R13" s="1" t="s">
        <v>66</v>
      </c>
      <c r="S13" s="1" t="s">
        <v>20</v>
      </c>
      <c r="T13" s="1" t="s">
        <v>35</v>
      </c>
      <c r="U13" s="1" t="s">
        <v>46</v>
      </c>
      <c r="V13" s="1" t="s">
        <v>395</v>
      </c>
      <c r="W13" s="1" t="s">
        <v>396</v>
      </c>
    </row>
    <row r="14" spans="1:23" ht="14.5" x14ac:dyDescent="0.35">
      <c r="A14" s="1" t="s">
        <v>397</v>
      </c>
      <c r="B14" s="1" t="s">
        <v>178</v>
      </c>
      <c r="C14" s="1" t="s">
        <v>398</v>
      </c>
      <c r="D14" s="1" t="s">
        <v>399</v>
      </c>
      <c r="E14" s="1" t="s">
        <v>400</v>
      </c>
      <c r="F14" s="1" t="s">
        <v>401</v>
      </c>
      <c r="G14" s="1" t="s">
        <v>24</v>
      </c>
      <c r="H14" s="7">
        <v>26367</v>
      </c>
      <c r="I14" s="1">
        <v>49</v>
      </c>
      <c r="J14" s="1" t="s">
        <v>26</v>
      </c>
      <c r="K14" s="1" t="s">
        <v>39</v>
      </c>
      <c r="L14" s="1" t="s">
        <v>183</v>
      </c>
      <c r="M14" s="1" t="s">
        <v>28</v>
      </c>
      <c r="N14" s="1" t="s">
        <v>402</v>
      </c>
      <c r="O14" s="7">
        <v>35765</v>
      </c>
      <c r="P14" s="1" t="s">
        <v>18</v>
      </c>
      <c r="Q14" s="1" t="s">
        <v>65</v>
      </c>
      <c r="R14" s="1" t="s">
        <v>66</v>
      </c>
      <c r="S14" s="1" t="s">
        <v>20</v>
      </c>
      <c r="T14" s="1" t="s">
        <v>23</v>
      </c>
      <c r="U14" s="1" t="s">
        <v>17</v>
      </c>
      <c r="V14" s="1" t="s">
        <v>403</v>
      </c>
      <c r="W14" s="1" t="s">
        <v>404</v>
      </c>
    </row>
    <row r="15" spans="1:23" ht="14.5" x14ac:dyDescent="0.35">
      <c r="A15" s="1" t="s">
        <v>405</v>
      </c>
      <c r="B15" s="1" t="s">
        <v>178</v>
      </c>
      <c r="C15" s="1" t="s">
        <v>406</v>
      </c>
      <c r="D15" s="1" t="s">
        <v>377</v>
      </c>
      <c r="E15" s="1" t="s">
        <v>407</v>
      </c>
      <c r="F15" s="1" t="s">
        <v>158</v>
      </c>
      <c r="G15" s="1" t="s">
        <v>24</v>
      </c>
      <c r="H15" s="7">
        <v>26180</v>
      </c>
      <c r="I15" s="1">
        <v>49</v>
      </c>
      <c r="J15" s="1" t="s">
        <v>26</v>
      </c>
      <c r="K15" s="1" t="s">
        <v>27</v>
      </c>
      <c r="L15" s="1" t="s">
        <v>186</v>
      </c>
      <c r="M15" s="1" t="s">
        <v>28</v>
      </c>
      <c r="N15" s="1" t="s">
        <v>408</v>
      </c>
      <c r="O15" s="7">
        <v>35765</v>
      </c>
      <c r="P15" s="1" t="s">
        <v>18</v>
      </c>
      <c r="Q15" s="1" t="s">
        <v>57</v>
      </c>
      <c r="R15" s="1" t="s">
        <v>62</v>
      </c>
      <c r="S15" s="1" t="s">
        <v>20</v>
      </c>
      <c r="T15" s="1" t="s">
        <v>44</v>
      </c>
      <c r="U15" s="1" t="s">
        <v>46</v>
      </c>
      <c r="V15" s="1" t="s">
        <v>409</v>
      </c>
      <c r="W15" s="1" t="s">
        <v>410</v>
      </c>
    </row>
    <row r="16" spans="1:23" ht="14.5" x14ac:dyDescent="0.35">
      <c r="A16" s="1" t="s">
        <v>411</v>
      </c>
      <c r="B16" s="1" t="s">
        <v>178</v>
      </c>
      <c r="C16" s="1" t="s">
        <v>412</v>
      </c>
      <c r="D16" s="1" t="s">
        <v>413</v>
      </c>
      <c r="E16" s="1" t="s">
        <v>414</v>
      </c>
      <c r="F16" s="1" t="s">
        <v>285</v>
      </c>
      <c r="G16" s="1" t="s">
        <v>24</v>
      </c>
      <c r="H16" s="7">
        <v>25922</v>
      </c>
      <c r="I16" s="1">
        <v>50</v>
      </c>
      <c r="J16" s="1" t="s">
        <v>26</v>
      </c>
      <c r="K16" s="1" t="s">
        <v>39</v>
      </c>
      <c r="L16" s="1" t="s">
        <v>207</v>
      </c>
      <c r="M16" s="1" t="s">
        <v>28</v>
      </c>
      <c r="N16" s="1" t="s">
        <v>286</v>
      </c>
      <c r="O16" s="7">
        <v>35796</v>
      </c>
      <c r="P16" s="1" t="s">
        <v>30</v>
      </c>
      <c r="Q16" s="1" t="s">
        <v>31</v>
      </c>
      <c r="R16" s="1" t="s">
        <v>34</v>
      </c>
      <c r="S16" s="1" t="s">
        <v>32</v>
      </c>
      <c r="T16" s="1" t="s">
        <v>35</v>
      </c>
      <c r="U16" s="1" t="s">
        <v>46</v>
      </c>
      <c r="V16" s="1" t="s">
        <v>415</v>
      </c>
      <c r="W16" s="1" t="s">
        <v>416</v>
      </c>
    </row>
    <row r="17" spans="1:23" ht="14.5" x14ac:dyDescent="0.35">
      <c r="A17" s="1" t="s">
        <v>417</v>
      </c>
      <c r="B17" s="1" t="s">
        <v>178</v>
      </c>
      <c r="C17" s="1" t="s">
        <v>418</v>
      </c>
      <c r="D17" s="1" t="s">
        <v>419</v>
      </c>
      <c r="E17" s="1" t="s">
        <v>420</v>
      </c>
      <c r="F17" s="1" t="s">
        <v>421</v>
      </c>
      <c r="G17" s="1" t="s">
        <v>24</v>
      </c>
      <c r="H17" s="7">
        <v>26193</v>
      </c>
      <c r="I17" s="1">
        <v>49</v>
      </c>
      <c r="J17" s="1" t="s">
        <v>26</v>
      </c>
      <c r="K17" s="1" t="s">
        <v>39</v>
      </c>
      <c r="L17" s="1" t="s">
        <v>183</v>
      </c>
      <c r="M17" s="1" t="s">
        <v>28</v>
      </c>
      <c r="N17" s="1" t="s">
        <v>422</v>
      </c>
      <c r="O17" s="7">
        <v>35806</v>
      </c>
      <c r="P17" s="1" t="s">
        <v>18</v>
      </c>
      <c r="Q17" s="1" t="s">
        <v>65</v>
      </c>
      <c r="R17" s="1" t="s">
        <v>20</v>
      </c>
      <c r="S17" s="1" t="s">
        <v>20</v>
      </c>
      <c r="T17" s="1" t="s">
        <v>23</v>
      </c>
      <c r="U17" s="1" t="s">
        <v>17</v>
      </c>
      <c r="V17" s="1" t="s">
        <v>423</v>
      </c>
      <c r="W17" s="1" t="s">
        <v>424</v>
      </c>
    </row>
    <row r="18" spans="1:23" ht="14.5" x14ac:dyDescent="0.35">
      <c r="A18" s="1" t="s">
        <v>425</v>
      </c>
      <c r="B18" s="1" t="s">
        <v>178</v>
      </c>
      <c r="C18" s="1" t="s">
        <v>426</v>
      </c>
      <c r="D18" s="1" t="s">
        <v>377</v>
      </c>
      <c r="E18" s="1" t="s">
        <v>427</v>
      </c>
      <c r="F18" s="1" t="s">
        <v>157</v>
      </c>
      <c r="G18" s="1" t="s">
        <v>24</v>
      </c>
      <c r="H18" s="7">
        <v>26912</v>
      </c>
      <c r="I18" s="1">
        <v>47</v>
      </c>
      <c r="J18" s="1" t="s">
        <v>26</v>
      </c>
      <c r="K18" s="1" t="s">
        <v>27</v>
      </c>
      <c r="L18" s="1" t="s">
        <v>186</v>
      </c>
      <c r="M18" s="1" t="s">
        <v>28</v>
      </c>
      <c r="N18" s="1" t="s">
        <v>428</v>
      </c>
      <c r="O18" s="7">
        <v>36413</v>
      </c>
      <c r="P18" s="1" t="s">
        <v>18</v>
      </c>
      <c r="Q18" s="1" t="s">
        <v>19</v>
      </c>
      <c r="R18" s="1" t="s">
        <v>50</v>
      </c>
      <c r="S18" s="1" t="s">
        <v>32</v>
      </c>
      <c r="T18" s="1" t="s">
        <v>44</v>
      </c>
      <c r="U18" s="1" t="s">
        <v>46</v>
      </c>
      <c r="V18" s="1" t="s">
        <v>429</v>
      </c>
      <c r="W18" s="1" t="s">
        <v>430</v>
      </c>
    </row>
    <row r="19" spans="1:23" ht="14.5" x14ac:dyDescent="0.35">
      <c r="A19" s="1" t="s">
        <v>431</v>
      </c>
      <c r="B19" s="1" t="s">
        <v>114</v>
      </c>
      <c r="C19" s="1" t="s">
        <v>325</v>
      </c>
      <c r="D19" s="1" t="s">
        <v>432</v>
      </c>
      <c r="E19" s="1" t="s">
        <v>433</v>
      </c>
      <c r="F19" s="1" t="s">
        <v>434</v>
      </c>
      <c r="G19" s="1" t="s">
        <v>13</v>
      </c>
      <c r="H19" s="7">
        <v>26949</v>
      </c>
      <c r="I19" s="1">
        <v>47</v>
      </c>
      <c r="J19" s="1" t="s">
        <v>26</v>
      </c>
      <c r="K19" s="1" t="s">
        <v>39</v>
      </c>
      <c r="L19" s="1" t="s">
        <v>207</v>
      </c>
      <c r="M19" s="1" t="s">
        <v>28</v>
      </c>
      <c r="N19" s="1" t="s">
        <v>435</v>
      </c>
      <c r="O19" s="7">
        <v>36413</v>
      </c>
      <c r="P19" s="1" t="s">
        <v>18</v>
      </c>
      <c r="Q19" s="1" t="s">
        <v>68</v>
      </c>
      <c r="R19" s="1" t="s">
        <v>20</v>
      </c>
      <c r="S19" s="1" t="s">
        <v>20</v>
      </c>
      <c r="T19" s="1" t="s">
        <v>23</v>
      </c>
      <c r="U19" s="1" t="s">
        <v>29</v>
      </c>
      <c r="V19" s="1" t="s">
        <v>436</v>
      </c>
      <c r="W19" s="1" t="s">
        <v>437</v>
      </c>
    </row>
    <row r="20" spans="1:23" ht="14.5" x14ac:dyDescent="0.35">
      <c r="A20" s="1" t="s">
        <v>438</v>
      </c>
      <c r="B20" s="1" t="s">
        <v>182</v>
      </c>
      <c r="C20" s="1" t="s">
        <v>439</v>
      </c>
      <c r="D20" s="1" t="s">
        <v>440</v>
      </c>
      <c r="E20" s="1" t="s">
        <v>441</v>
      </c>
      <c r="F20" s="1" t="s">
        <v>281</v>
      </c>
      <c r="G20" s="1" t="s">
        <v>13</v>
      </c>
      <c r="H20" s="7">
        <v>26305</v>
      </c>
      <c r="I20" s="1">
        <v>49</v>
      </c>
      <c r="J20" s="1" t="s">
        <v>26</v>
      </c>
      <c r="K20" s="1" t="s">
        <v>39</v>
      </c>
      <c r="L20" s="1" t="s">
        <v>207</v>
      </c>
      <c r="M20" s="1" t="s">
        <v>28</v>
      </c>
      <c r="N20" s="1" t="s">
        <v>282</v>
      </c>
      <c r="O20" s="7">
        <v>36413</v>
      </c>
      <c r="P20" s="1" t="s">
        <v>18</v>
      </c>
      <c r="Q20" s="1" t="s">
        <v>68</v>
      </c>
      <c r="R20" s="1" t="s">
        <v>58</v>
      </c>
      <c r="S20" s="1" t="s">
        <v>32</v>
      </c>
      <c r="T20" s="1" t="s">
        <v>23</v>
      </c>
      <c r="U20" s="1" t="s">
        <v>29</v>
      </c>
      <c r="V20" s="1" t="s">
        <v>442</v>
      </c>
      <c r="W20" s="1" t="s">
        <v>443</v>
      </c>
    </row>
    <row r="21" spans="1:23" ht="15.75" customHeight="1" x14ac:dyDescent="0.35">
      <c r="A21" s="1" t="s">
        <v>444</v>
      </c>
      <c r="B21" s="1" t="s">
        <v>114</v>
      </c>
      <c r="C21" s="1" t="s">
        <v>445</v>
      </c>
      <c r="D21" s="1" t="s">
        <v>446</v>
      </c>
      <c r="E21" s="1" t="s">
        <v>447</v>
      </c>
      <c r="F21" s="1" t="s">
        <v>448</v>
      </c>
      <c r="G21" s="1" t="s">
        <v>13</v>
      </c>
      <c r="H21" s="7">
        <v>27108</v>
      </c>
      <c r="I21" s="1">
        <v>47</v>
      </c>
      <c r="J21" s="1" t="s">
        <v>26</v>
      </c>
      <c r="K21" s="1" t="s">
        <v>39</v>
      </c>
      <c r="L21" s="1" t="s">
        <v>207</v>
      </c>
      <c r="M21" s="1" t="s">
        <v>28</v>
      </c>
      <c r="N21" s="1" t="s">
        <v>449</v>
      </c>
      <c r="O21" s="7">
        <v>36465</v>
      </c>
      <c r="P21" s="1" t="s">
        <v>18</v>
      </c>
      <c r="Q21" s="1" t="s">
        <v>68</v>
      </c>
      <c r="R21" s="1" t="s">
        <v>54</v>
      </c>
      <c r="S21" s="1" t="s">
        <v>32</v>
      </c>
      <c r="T21" s="1" t="s">
        <v>23</v>
      </c>
      <c r="U21" s="1" t="s">
        <v>29</v>
      </c>
      <c r="V21" s="1" t="s">
        <v>450</v>
      </c>
      <c r="W21" s="1" t="s">
        <v>451</v>
      </c>
    </row>
    <row r="22" spans="1:23" ht="15.75" customHeight="1" x14ac:dyDescent="0.35">
      <c r="A22" s="1" t="s">
        <v>452</v>
      </c>
      <c r="B22" s="1" t="s">
        <v>182</v>
      </c>
      <c r="C22" s="1" t="s">
        <v>453</v>
      </c>
      <c r="D22" s="1" t="s">
        <v>454</v>
      </c>
      <c r="E22" s="1" t="s">
        <v>455</v>
      </c>
      <c r="F22" s="1" t="s">
        <v>456</v>
      </c>
      <c r="G22" s="1" t="s">
        <v>13</v>
      </c>
      <c r="H22" s="7">
        <v>27142</v>
      </c>
      <c r="I22" s="1">
        <v>47</v>
      </c>
      <c r="J22" s="1" t="s">
        <v>26</v>
      </c>
      <c r="K22" s="1" t="s">
        <v>39</v>
      </c>
      <c r="L22" s="1" t="s">
        <v>193</v>
      </c>
      <c r="M22" s="1" t="s">
        <v>28</v>
      </c>
      <c r="N22" s="1" t="s">
        <v>457</v>
      </c>
      <c r="O22" s="7">
        <v>36710</v>
      </c>
      <c r="P22" s="1" t="s">
        <v>18</v>
      </c>
      <c r="Q22" s="1" t="s">
        <v>68</v>
      </c>
      <c r="R22" s="1" t="s">
        <v>20</v>
      </c>
      <c r="S22" s="1" t="s">
        <v>20</v>
      </c>
      <c r="T22" s="1" t="s">
        <v>35</v>
      </c>
      <c r="U22" s="1" t="s">
        <v>41</v>
      </c>
      <c r="V22" s="1" t="s">
        <v>458</v>
      </c>
      <c r="W22" s="1" t="s">
        <v>459</v>
      </c>
    </row>
    <row r="23" spans="1:23" ht="15.75" customHeight="1" x14ac:dyDescent="0.35">
      <c r="A23" s="1" t="s">
        <v>460</v>
      </c>
      <c r="B23" s="1" t="s">
        <v>182</v>
      </c>
      <c r="C23" s="1" t="s">
        <v>461</v>
      </c>
      <c r="D23" s="1" t="s">
        <v>462</v>
      </c>
      <c r="E23" s="1" t="s">
        <v>463</v>
      </c>
      <c r="F23" s="1" t="s">
        <v>262</v>
      </c>
      <c r="G23" s="1" t="s">
        <v>13</v>
      </c>
      <c r="H23" s="7">
        <v>26478</v>
      </c>
      <c r="I23" s="1">
        <v>49</v>
      </c>
      <c r="J23" s="1" t="s">
        <v>26</v>
      </c>
      <c r="K23" s="1" t="s">
        <v>39</v>
      </c>
      <c r="L23" s="1" t="s">
        <v>193</v>
      </c>
      <c r="M23" s="1" t="s">
        <v>28</v>
      </c>
      <c r="N23" s="1" t="s">
        <v>263</v>
      </c>
      <c r="O23" s="7">
        <v>36711</v>
      </c>
      <c r="P23" s="1" t="s">
        <v>18</v>
      </c>
      <c r="Q23" s="1" t="s">
        <v>68</v>
      </c>
      <c r="R23" s="1" t="s">
        <v>50</v>
      </c>
      <c r="S23" s="1" t="s">
        <v>32</v>
      </c>
      <c r="T23" s="1" t="s">
        <v>23</v>
      </c>
      <c r="U23" s="1" t="s">
        <v>29</v>
      </c>
      <c r="V23" s="1" t="s">
        <v>464</v>
      </c>
      <c r="W23" s="1" t="s">
        <v>465</v>
      </c>
    </row>
    <row r="24" spans="1:23" ht="15.75" customHeight="1" x14ac:dyDescent="0.35">
      <c r="A24" s="1" t="s">
        <v>466</v>
      </c>
      <c r="B24" s="1" t="s">
        <v>178</v>
      </c>
      <c r="C24" s="1" t="s">
        <v>467</v>
      </c>
      <c r="D24" s="1" t="s">
        <v>468</v>
      </c>
      <c r="E24" s="1" t="s">
        <v>407</v>
      </c>
      <c r="F24" s="1" t="s">
        <v>235</v>
      </c>
      <c r="G24" s="1" t="s">
        <v>24</v>
      </c>
      <c r="H24" s="7">
        <v>27385</v>
      </c>
      <c r="I24" s="1">
        <v>46</v>
      </c>
      <c r="J24" s="1" t="s">
        <v>26</v>
      </c>
      <c r="K24" s="1" t="s">
        <v>27</v>
      </c>
      <c r="L24" s="1" t="s">
        <v>186</v>
      </c>
      <c r="M24" s="1" t="s">
        <v>28</v>
      </c>
      <c r="N24" s="1" t="s">
        <v>236</v>
      </c>
      <c r="O24" s="7">
        <v>36847</v>
      </c>
      <c r="P24" s="1" t="s">
        <v>18</v>
      </c>
      <c r="Q24" s="1" t="s">
        <v>31</v>
      </c>
      <c r="R24" s="1" t="s">
        <v>50</v>
      </c>
      <c r="S24" s="1" t="s">
        <v>32</v>
      </c>
      <c r="T24" s="1" t="s">
        <v>35</v>
      </c>
      <c r="U24" s="1" t="s">
        <v>46</v>
      </c>
      <c r="V24" s="1" t="s">
        <v>469</v>
      </c>
      <c r="W24" s="1" t="s">
        <v>470</v>
      </c>
    </row>
    <row r="25" spans="1:23" ht="15.75" customHeight="1" x14ac:dyDescent="0.35">
      <c r="A25" s="1" t="s">
        <v>471</v>
      </c>
      <c r="B25" s="1" t="s">
        <v>114</v>
      </c>
      <c r="C25" s="1" t="s">
        <v>472</v>
      </c>
      <c r="D25" s="1" t="s">
        <v>473</v>
      </c>
      <c r="E25" s="1" t="s">
        <v>463</v>
      </c>
      <c r="F25" s="1" t="s">
        <v>231</v>
      </c>
      <c r="G25" s="1" t="s">
        <v>13</v>
      </c>
      <c r="H25" s="7">
        <v>26971</v>
      </c>
      <c r="I25" s="1">
        <v>47</v>
      </c>
      <c r="J25" s="1" t="s">
        <v>26</v>
      </c>
      <c r="K25" s="1" t="s">
        <v>39</v>
      </c>
      <c r="L25" s="1" t="s">
        <v>193</v>
      </c>
      <c r="M25" s="1" t="s">
        <v>28</v>
      </c>
      <c r="N25" s="1" t="s">
        <v>232</v>
      </c>
      <c r="O25" s="7">
        <v>36860</v>
      </c>
      <c r="P25" s="1" t="s">
        <v>18</v>
      </c>
      <c r="Q25" s="1" t="s">
        <v>68</v>
      </c>
      <c r="R25" s="1" t="s">
        <v>34</v>
      </c>
      <c r="S25" s="1" t="s">
        <v>32</v>
      </c>
      <c r="T25" s="1" t="s">
        <v>23</v>
      </c>
      <c r="U25" s="1" t="s">
        <v>29</v>
      </c>
      <c r="V25" s="1" t="s">
        <v>474</v>
      </c>
      <c r="W25" s="1" t="s">
        <v>475</v>
      </c>
    </row>
    <row r="26" spans="1:23" ht="15.75" customHeight="1" x14ac:dyDescent="0.35">
      <c r="A26" s="1" t="s">
        <v>476</v>
      </c>
      <c r="B26" s="1" t="s">
        <v>182</v>
      </c>
      <c r="C26" s="1" t="s">
        <v>477</v>
      </c>
      <c r="D26" s="1" t="s">
        <v>478</v>
      </c>
      <c r="E26" s="1" t="s">
        <v>479</v>
      </c>
      <c r="F26" s="1" t="s">
        <v>480</v>
      </c>
      <c r="G26" s="1" t="s">
        <v>13</v>
      </c>
      <c r="H26" s="7">
        <v>25643</v>
      </c>
      <c r="I26" s="1">
        <v>51</v>
      </c>
      <c r="J26" s="1" t="s">
        <v>38</v>
      </c>
      <c r="K26" s="1" t="s">
        <v>27</v>
      </c>
      <c r="L26" s="1" t="s">
        <v>186</v>
      </c>
      <c r="M26" s="1" t="s">
        <v>28</v>
      </c>
      <c r="N26" s="1" t="s">
        <v>481</v>
      </c>
      <c r="O26" s="7">
        <v>36873</v>
      </c>
      <c r="P26" s="1" t="s">
        <v>30</v>
      </c>
      <c r="Q26" s="1" t="s">
        <v>42</v>
      </c>
      <c r="R26" s="1" t="s">
        <v>50</v>
      </c>
      <c r="S26" s="1" t="s">
        <v>32</v>
      </c>
      <c r="T26" s="1" t="s">
        <v>35</v>
      </c>
      <c r="U26" s="1" t="s">
        <v>46</v>
      </c>
      <c r="V26" s="1" t="s">
        <v>482</v>
      </c>
      <c r="W26" s="1" t="s">
        <v>483</v>
      </c>
    </row>
    <row r="27" spans="1:23" ht="15.75" customHeight="1" x14ac:dyDescent="0.35">
      <c r="A27" s="1" t="s">
        <v>484</v>
      </c>
      <c r="B27" s="1" t="s">
        <v>210</v>
      </c>
      <c r="C27" s="1" t="s">
        <v>485</v>
      </c>
      <c r="D27" s="1" t="s">
        <v>486</v>
      </c>
      <c r="E27" s="1" t="s">
        <v>487</v>
      </c>
      <c r="F27" s="1" t="s">
        <v>139</v>
      </c>
      <c r="G27" s="1" t="s">
        <v>24</v>
      </c>
      <c r="H27" s="7">
        <v>27818</v>
      </c>
      <c r="I27" s="1">
        <v>45</v>
      </c>
      <c r="J27" s="1" t="s">
        <v>26</v>
      </c>
      <c r="K27" s="1" t="s">
        <v>39</v>
      </c>
      <c r="L27" s="1" t="s">
        <v>193</v>
      </c>
      <c r="M27" s="1" t="s">
        <v>28</v>
      </c>
      <c r="N27" s="1" t="s">
        <v>488</v>
      </c>
      <c r="O27" s="7">
        <v>36996</v>
      </c>
      <c r="P27" s="1" t="s">
        <v>18</v>
      </c>
      <c r="Q27" s="1" t="s">
        <v>68</v>
      </c>
      <c r="R27" s="1" t="s">
        <v>50</v>
      </c>
      <c r="S27" s="1" t="s">
        <v>32</v>
      </c>
      <c r="T27" s="1" t="s">
        <v>35</v>
      </c>
      <c r="U27" s="1" t="s">
        <v>41</v>
      </c>
      <c r="V27" s="1" t="s">
        <v>489</v>
      </c>
      <c r="W27" s="1" t="s">
        <v>490</v>
      </c>
    </row>
    <row r="28" spans="1:23" ht="15.75" customHeight="1" x14ac:dyDescent="0.35">
      <c r="A28" s="1" t="s">
        <v>491</v>
      </c>
      <c r="B28" s="1" t="s">
        <v>178</v>
      </c>
      <c r="C28" s="1" t="s">
        <v>492</v>
      </c>
      <c r="D28" s="1" t="s">
        <v>493</v>
      </c>
      <c r="E28" s="1" t="s">
        <v>494</v>
      </c>
      <c r="F28" s="1" t="s">
        <v>289</v>
      </c>
      <c r="G28" s="1" t="s">
        <v>13</v>
      </c>
      <c r="H28" s="7">
        <v>27917</v>
      </c>
      <c r="I28" s="1">
        <v>45</v>
      </c>
      <c r="J28" s="1" t="s">
        <v>26</v>
      </c>
      <c r="K28" s="1" t="s">
        <v>15</v>
      </c>
      <c r="L28" s="1" t="s">
        <v>290</v>
      </c>
      <c r="M28" s="1" t="s">
        <v>28</v>
      </c>
      <c r="N28" s="1" t="s">
        <v>291</v>
      </c>
      <c r="O28" s="7">
        <v>37012</v>
      </c>
      <c r="P28" s="1" t="s">
        <v>18</v>
      </c>
      <c r="Q28" s="1" t="s">
        <v>68</v>
      </c>
      <c r="R28" s="1" t="s">
        <v>20</v>
      </c>
      <c r="S28" s="1" t="s">
        <v>20</v>
      </c>
      <c r="T28" s="1" t="s">
        <v>23</v>
      </c>
      <c r="U28" s="1" t="s">
        <v>72</v>
      </c>
      <c r="V28" s="1" t="s">
        <v>495</v>
      </c>
      <c r="W28" s="8" t="s">
        <v>496</v>
      </c>
    </row>
    <row r="29" spans="1:23" ht="15.75" customHeight="1" x14ac:dyDescent="0.35">
      <c r="A29" s="1" t="s">
        <v>497</v>
      </c>
      <c r="B29" s="1" t="s">
        <v>178</v>
      </c>
      <c r="C29" s="1" t="s">
        <v>498</v>
      </c>
      <c r="D29" s="1" t="s">
        <v>499</v>
      </c>
      <c r="E29" s="1" t="s">
        <v>500</v>
      </c>
      <c r="F29" s="1" t="s">
        <v>151</v>
      </c>
      <c r="G29" s="1" t="s">
        <v>24</v>
      </c>
      <c r="H29" s="7">
        <v>28141</v>
      </c>
      <c r="I29" s="1">
        <v>44</v>
      </c>
      <c r="J29" s="1" t="s">
        <v>26</v>
      </c>
      <c r="K29" s="1" t="s">
        <v>39</v>
      </c>
      <c r="L29" s="1" t="s">
        <v>207</v>
      </c>
      <c r="M29" s="1" t="s">
        <v>28</v>
      </c>
      <c r="N29" s="1" t="s">
        <v>501</v>
      </c>
      <c r="O29" s="7">
        <v>37138</v>
      </c>
      <c r="P29" s="1" t="s">
        <v>18</v>
      </c>
      <c r="Q29" s="1" t="s">
        <v>68</v>
      </c>
      <c r="R29" s="1" t="s">
        <v>34</v>
      </c>
      <c r="S29" s="1" t="s">
        <v>32</v>
      </c>
      <c r="T29" s="1" t="s">
        <v>23</v>
      </c>
      <c r="U29" s="1" t="s">
        <v>29</v>
      </c>
      <c r="V29" s="1" t="s">
        <v>502</v>
      </c>
      <c r="W29" s="1" t="s">
        <v>503</v>
      </c>
    </row>
    <row r="30" spans="1:23" ht="15.75" customHeight="1" x14ac:dyDescent="0.35">
      <c r="A30" s="1" t="s">
        <v>504</v>
      </c>
      <c r="B30" s="1" t="s">
        <v>178</v>
      </c>
      <c r="C30" s="1" t="s">
        <v>505</v>
      </c>
      <c r="D30" s="1" t="s">
        <v>506</v>
      </c>
      <c r="E30" s="1" t="s">
        <v>507</v>
      </c>
      <c r="F30" s="1" t="s">
        <v>292</v>
      </c>
      <c r="G30" s="1" t="s">
        <v>13</v>
      </c>
      <c r="H30" s="7">
        <v>27840</v>
      </c>
      <c r="I30" s="1">
        <v>45</v>
      </c>
      <c r="J30" s="1" t="s">
        <v>26</v>
      </c>
      <c r="K30" s="1" t="s">
        <v>39</v>
      </c>
      <c r="L30" s="1" t="s">
        <v>290</v>
      </c>
      <c r="M30" s="1" t="s">
        <v>28</v>
      </c>
      <c r="N30" s="1" t="s">
        <v>293</v>
      </c>
      <c r="O30" s="7">
        <v>37246</v>
      </c>
      <c r="P30" s="1" t="s">
        <v>18</v>
      </c>
      <c r="Q30" s="1" t="s">
        <v>68</v>
      </c>
      <c r="R30" s="1" t="s">
        <v>54</v>
      </c>
      <c r="S30" s="1" t="s">
        <v>32</v>
      </c>
      <c r="T30" s="1" t="s">
        <v>23</v>
      </c>
      <c r="U30" s="1" t="s">
        <v>74</v>
      </c>
      <c r="V30" s="1" t="s">
        <v>508</v>
      </c>
      <c r="W30" s="8" t="s">
        <v>509</v>
      </c>
    </row>
    <row r="31" spans="1:23" ht="15.75" customHeight="1" x14ac:dyDescent="0.35">
      <c r="A31" s="1" t="s">
        <v>510</v>
      </c>
      <c r="B31" s="1" t="s">
        <v>178</v>
      </c>
      <c r="C31" s="1" t="s">
        <v>455</v>
      </c>
      <c r="D31" s="1" t="s">
        <v>511</v>
      </c>
      <c r="E31" s="1" t="s">
        <v>512</v>
      </c>
      <c r="F31" s="1" t="s">
        <v>176</v>
      </c>
      <c r="G31" s="1" t="s">
        <v>24</v>
      </c>
      <c r="H31" s="7">
        <v>27808</v>
      </c>
      <c r="I31" s="1">
        <v>45</v>
      </c>
      <c r="J31" s="1" t="s">
        <v>26</v>
      </c>
      <c r="K31" s="1" t="s">
        <v>39</v>
      </c>
      <c r="L31" s="1" t="s">
        <v>193</v>
      </c>
      <c r="M31" s="1" t="s">
        <v>28</v>
      </c>
      <c r="N31" s="1" t="s">
        <v>513</v>
      </c>
      <c r="O31" s="7">
        <v>37246</v>
      </c>
      <c r="P31" s="1" t="s">
        <v>18</v>
      </c>
      <c r="Q31" s="1" t="s">
        <v>68</v>
      </c>
      <c r="R31" s="1" t="s">
        <v>20</v>
      </c>
      <c r="S31" s="1" t="s">
        <v>20</v>
      </c>
      <c r="T31" s="1" t="s">
        <v>35</v>
      </c>
      <c r="U31" s="1" t="s">
        <v>41</v>
      </c>
      <c r="V31" s="1" t="s">
        <v>514</v>
      </c>
      <c r="W31" s="1" t="s">
        <v>515</v>
      </c>
    </row>
    <row r="32" spans="1:23" ht="15.75" customHeight="1" x14ac:dyDescent="0.35">
      <c r="A32" s="1" t="s">
        <v>516</v>
      </c>
      <c r="B32" s="1" t="s">
        <v>178</v>
      </c>
      <c r="C32" s="1" t="s">
        <v>517</v>
      </c>
      <c r="D32" s="1" t="s">
        <v>518</v>
      </c>
      <c r="E32" s="1" t="s">
        <v>519</v>
      </c>
      <c r="F32" s="1" t="s">
        <v>294</v>
      </c>
      <c r="G32" s="1" t="s">
        <v>24</v>
      </c>
      <c r="H32" s="7">
        <v>27572</v>
      </c>
      <c r="I32" s="1">
        <v>46</v>
      </c>
      <c r="J32" s="1" t="s">
        <v>26</v>
      </c>
      <c r="K32" s="1" t="s">
        <v>39</v>
      </c>
      <c r="L32" s="1" t="s">
        <v>290</v>
      </c>
      <c r="M32" s="1" t="s">
        <v>28</v>
      </c>
      <c r="N32" s="1" t="s">
        <v>295</v>
      </c>
      <c r="O32" s="7">
        <v>37257</v>
      </c>
      <c r="P32" s="1" t="s">
        <v>30</v>
      </c>
      <c r="Q32" s="1" t="s">
        <v>68</v>
      </c>
      <c r="R32" s="1" t="s">
        <v>20</v>
      </c>
      <c r="S32" s="1" t="s">
        <v>20</v>
      </c>
      <c r="T32" s="1" t="s">
        <v>23</v>
      </c>
      <c r="U32" s="1" t="s">
        <v>74</v>
      </c>
      <c r="V32" s="1" t="s">
        <v>520</v>
      </c>
      <c r="W32" s="8" t="s">
        <v>521</v>
      </c>
    </row>
    <row r="33" spans="1:23" ht="15.75" customHeight="1" x14ac:dyDescent="0.35">
      <c r="A33" s="1" t="s">
        <v>522</v>
      </c>
      <c r="B33" s="1" t="s">
        <v>523</v>
      </c>
      <c r="C33" s="1" t="s">
        <v>524</v>
      </c>
      <c r="D33" s="1" t="s">
        <v>525</v>
      </c>
      <c r="E33" s="1" t="s">
        <v>414</v>
      </c>
      <c r="F33" s="1" t="s">
        <v>526</v>
      </c>
      <c r="G33" s="1" t="s">
        <v>13</v>
      </c>
      <c r="H33" s="7">
        <v>25700</v>
      </c>
      <c r="I33" s="1">
        <v>51</v>
      </c>
      <c r="J33" s="1" t="s">
        <v>38</v>
      </c>
      <c r="K33" s="1" t="s">
        <v>39</v>
      </c>
      <c r="L33" s="1" t="s">
        <v>207</v>
      </c>
      <c r="M33" s="1" t="s">
        <v>28</v>
      </c>
      <c r="N33" s="1" t="s">
        <v>527</v>
      </c>
      <c r="O33" s="7">
        <v>37347</v>
      </c>
      <c r="P33" s="1" t="s">
        <v>18</v>
      </c>
      <c r="Q33" s="1" t="s">
        <v>68</v>
      </c>
      <c r="R33" s="1" t="s">
        <v>34</v>
      </c>
      <c r="S33" s="1" t="s">
        <v>32</v>
      </c>
      <c r="T33" s="1" t="s">
        <v>23</v>
      </c>
      <c r="U33" s="1" t="s">
        <v>29</v>
      </c>
      <c r="V33" s="1" t="s">
        <v>528</v>
      </c>
      <c r="W33" s="1" t="s">
        <v>529</v>
      </c>
    </row>
    <row r="34" spans="1:23" ht="15.75" customHeight="1" x14ac:dyDescent="0.35">
      <c r="A34" s="1" t="s">
        <v>530</v>
      </c>
      <c r="B34" s="1" t="s">
        <v>178</v>
      </c>
      <c r="C34" s="1" t="s">
        <v>531</v>
      </c>
      <c r="D34" s="1" t="s">
        <v>377</v>
      </c>
      <c r="E34" s="1" t="s">
        <v>532</v>
      </c>
      <c r="F34" s="1" t="s">
        <v>251</v>
      </c>
      <c r="G34" s="1" t="s">
        <v>24</v>
      </c>
      <c r="H34" s="7">
        <v>28034</v>
      </c>
      <c r="I34" s="1">
        <v>44</v>
      </c>
      <c r="J34" s="1" t="s">
        <v>26</v>
      </c>
      <c r="K34" s="1" t="s">
        <v>27</v>
      </c>
      <c r="L34" s="1" t="s">
        <v>186</v>
      </c>
      <c r="M34" s="1" t="s">
        <v>28</v>
      </c>
      <c r="N34" s="1" t="s">
        <v>252</v>
      </c>
      <c r="O34" s="7">
        <v>37377</v>
      </c>
      <c r="P34" s="1" t="s">
        <v>18</v>
      </c>
      <c r="Q34" s="1" t="s">
        <v>68</v>
      </c>
      <c r="R34" s="1" t="s">
        <v>20</v>
      </c>
      <c r="S34" s="1" t="s">
        <v>20</v>
      </c>
      <c r="T34" s="1" t="s">
        <v>23</v>
      </c>
      <c r="U34" s="1" t="s">
        <v>52</v>
      </c>
      <c r="V34" s="1" t="s">
        <v>533</v>
      </c>
      <c r="W34" s="1" t="s">
        <v>534</v>
      </c>
    </row>
    <row r="35" spans="1:23" ht="15.75" customHeight="1" x14ac:dyDescent="0.35">
      <c r="A35" s="1" t="s">
        <v>535</v>
      </c>
      <c r="B35" s="1" t="s">
        <v>114</v>
      </c>
      <c r="C35" s="1" t="s">
        <v>536</v>
      </c>
      <c r="D35" s="1" t="s">
        <v>537</v>
      </c>
      <c r="E35" s="1" t="s">
        <v>538</v>
      </c>
      <c r="F35" s="1" t="s">
        <v>296</v>
      </c>
      <c r="G35" s="1" t="s">
        <v>13</v>
      </c>
      <c r="H35" s="7">
        <v>28074</v>
      </c>
      <c r="I35" s="1">
        <v>44</v>
      </c>
      <c r="J35" s="1" t="s">
        <v>26</v>
      </c>
      <c r="K35" s="1" t="s">
        <v>15</v>
      </c>
      <c r="L35" s="1" t="s">
        <v>290</v>
      </c>
      <c r="M35" s="1" t="s">
        <v>40</v>
      </c>
      <c r="N35" s="1" t="s">
        <v>297</v>
      </c>
      <c r="O35" s="7">
        <v>37653</v>
      </c>
      <c r="P35" s="1" t="s">
        <v>18</v>
      </c>
      <c r="Q35" s="1" t="s">
        <v>68</v>
      </c>
      <c r="R35" s="1" t="s">
        <v>54</v>
      </c>
      <c r="S35" s="1" t="s">
        <v>32</v>
      </c>
      <c r="T35" s="1" t="s">
        <v>23</v>
      </c>
      <c r="U35" s="1" t="s">
        <v>76</v>
      </c>
      <c r="V35" s="1" t="s">
        <v>539</v>
      </c>
      <c r="W35" s="8" t="s">
        <v>540</v>
      </c>
    </row>
    <row r="36" spans="1:23" ht="15.75" customHeight="1" x14ac:dyDescent="0.35">
      <c r="A36" s="1" t="s">
        <v>541</v>
      </c>
      <c r="B36" s="1" t="s">
        <v>178</v>
      </c>
      <c r="C36" s="1" t="s">
        <v>542</v>
      </c>
      <c r="D36" s="1" t="s">
        <v>468</v>
      </c>
      <c r="E36" s="1" t="s">
        <v>543</v>
      </c>
      <c r="F36" s="1" t="s">
        <v>544</v>
      </c>
      <c r="G36" s="1" t="s">
        <v>24</v>
      </c>
      <c r="H36" s="7">
        <v>29279</v>
      </c>
      <c r="I36" s="1">
        <v>41</v>
      </c>
      <c r="J36" s="1" t="s">
        <v>26</v>
      </c>
      <c r="K36" s="1" t="s">
        <v>27</v>
      </c>
      <c r="L36" s="1" t="s">
        <v>186</v>
      </c>
      <c r="M36" s="1" t="s">
        <v>40</v>
      </c>
      <c r="N36" s="1" t="s">
        <v>545</v>
      </c>
      <c r="O36" s="7">
        <v>37653</v>
      </c>
      <c r="P36" s="1" t="s">
        <v>18</v>
      </c>
      <c r="Q36" s="1" t="s">
        <v>68</v>
      </c>
      <c r="R36" s="1" t="s">
        <v>50</v>
      </c>
      <c r="S36" s="1" t="s">
        <v>32</v>
      </c>
      <c r="T36" s="1" t="s">
        <v>23</v>
      </c>
      <c r="U36" s="1" t="s">
        <v>52</v>
      </c>
      <c r="V36" s="1" t="s">
        <v>546</v>
      </c>
      <c r="W36" s="1" t="s">
        <v>547</v>
      </c>
    </row>
    <row r="37" spans="1:23" ht="15.75" customHeight="1" x14ac:dyDescent="0.35">
      <c r="A37" s="1" t="s">
        <v>548</v>
      </c>
      <c r="B37" s="1" t="s">
        <v>178</v>
      </c>
      <c r="C37" s="1" t="s">
        <v>549</v>
      </c>
      <c r="D37" s="1" t="s">
        <v>550</v>
      </c>
      <c r="E37" s="1" t="s">
        <v>499</v>
      </c>
      <c r="F37" s="1" t="s">
        <v>165</v>
      </c>
      <c r="G37" s="1" t="s">
        <v>24</v>
      </c>
      <c r="H37" s="7">
        <v>28805</v>
      </c>
      <c r="I37" s="1">
        <v>42</v>
      </c>
      <c r="J37" s="1" t="s">
        <v>26</v>
      </c>
      <c r="K37" s="1" t="s">
        <v>39</v>
      </c>
      <c r="L37" s="1" t="s">
        <v>193</v>
      </c>
      <c r="M37" s="1" t="s">
        <v>28</v>
      </c>
      <c r="N37" s="1" t="s">
        <v>551</v>
      </c>
      <c r="O37" s="7">
        <v>37712</v>
      </c>
      <c r="P37" s="1" t="s">
        <v>18</v>
      </c>
      <c r="Q37" s="1" t="s">
        <v>68</v>
      </c>
      <c r="R37" s="1" t="s">
        <v>50</v>
      </c>
      <c r="S37" s="1" t="s">
        <v>32</v>
      </c>
      <c r="T37" s="1" t="s">
        <v>35</v>
      </c>
      <c r="U37" s="1" t="s">
        <v>41</v>
      </c>
      <c r="V37" s="1" t="s">
        <v>552</v>
      </c>
      <c r="W37" s="1" t="s">
        <v>553</v>
      </c>
    </row>
    <row r="38" spans="1:23" ht="15.75" customHeight="1" x14ac:dyDescent="0.35">
      <c r="A38" s="1" t="s">
        <v>554</v>
      </c>
      <c r="B38" s="1" t="s">
        <v>114</v>
      </c>
      <c r="C38" s="1" t="s">
        <v>555</v>
      </c>
      <c r="D38" s="1" t="s">
        <v>556</v>
      </c>
      <c r="E38" s="1" t="s">
        <v>557</v>
      </c>
      <c r="F38" s="1" t="s">
        <v>220</v>
      </c>
      <c r="G38" s="1" t="s">
        <v>13</v>
      </c>
      <c r="H38" s="7">
        <v>28294</v>
      </c>
      <c r="I38" s="1">
        <v>44</v>
      </c>
      <c r="J38" s="1" t="s">
        <v>26</v>
      </c>
      <c r="K38" s="1" t="s">
        <v>15</v>
      </c>
      <c r="L38" s="1" t="s">
        <v>221</v>
      </c>
      <c r="M38" s="1" t="s">
        <v>28</v>
      </c>
      <c r="N38" s="1" t="s">
        <v>222</v>
      </c>
      <c r="O38" s="7">
        <v>37712</v>
      </c>
      <c r="P38" s="1" t="s">
        <v>18</v>
      </c>
      <c r="Q38" s="1" t="s">
        <v>68</v>
      </c>
      <c r="R38" s="1" t="s">
        <v>20</v>
      </c>
      <c r="S38" s="1" t="s">
        <v>20</v>
      </c>
      <c r="T38" s="1" t="s">
        <v>35</v>
      </c>
      <c r="U38" s="1" t="s">
        <v>56</v>
      </c>
      <c r="V38" s="1" t="s">
        <v>558</v>
      </c>
      <c r="W38" s="1" t="s">
        <v>559</v>
      </c>
    </row>
    <row r="39" spans="1:23" ht="15.75" customHeight="1" x14ac:dyDescent="0.35">
      <c r="A39" s="1" t="s">
        <v>560</v>
      </c>
      <c r="B39" s="1" t="s">
        <v>178</v>
      </c>
      <c r="C39" s="1" t="s">
        <v>561</v>
      </c>
      <c r="D39" s="1" t="s">
        <v>326</v>
      </c>
      <c r="E39" s="1" t="s">
        <v>562</v>
      </c>
      <c r="F39" s="1" t="s">
        <v>563</v>
      </c>
      <c r="G39" s="1" t="s">
        <v>24</v>
      </c>
      <c r="H39" s="7">
        <v>22249</v>
      </c>
      <c r="I39" s="1">
        <v>60</v>
      </c>
      <c r="J39" s="1" t="s">
        <v>38</v>
      </c>
      <c r="K39" s="1" t="s">
        <v>39</v>
      </c>
      <c r="L39" s="1" t="s">
        <v>207</v>
      </c>
      <c r="M39" s="1" t="s">
        <v>28</v>
      </c>
      <c r="N39" s="1" t="s">
        <v>564</v>
      </c>
      <c r="O39" s="7">
        <v>38059</v>
      </c>
      <c r="P39" s="1" t="s">
        <v>30</v>
      </c>
      <c r="Q39" s="1" t="s">
        <v>19</v>
      </c>
      <c r="R39" s="1" t="s">
        <v>34</v>
      </c>
      <c r="S39" s="1" t="s">
        <v>32</v>
      </c>
      <c r="T39" s="1" t="s">
        <v>44</v>
      </c>
      <c r="U39" s="1" t="s">
        <v>46</v>
      </c>
      <c r="V39" s="1" t="s">
        <v>565</v>
      </c>
      <c r="W39" s="1" t="s">
        <v>566</v>
      </c>
    </row>
    <row r="40" spans="1:23" ht="15.75" customHeight="1" x14ac:dyDescent="0.35">
      <c r="A40" s="1" t="s">
        <v>567</v>
      </c>
      <c r="B40" s="1" t="s">
        <v>178</v>
      </c>
      <c r="C40" s="1" t="s">
        <v>568</v>
      </c>
      <c r="D40" s="1" t="s">
        <v>569</v>
      </c>
      <c r="E40" s="1" t="s">
        <v>570</v>
      </c>
      <c r="F40" s="1" t="s">
        <v>163</v>
      </c>
      <c r="G40" s="1" t="s">
        <v>24</v>
      </c>
      <c r="H40" s="7">
        <v>26014</v>
      </c>
      <c r="I40" s="1">
        <v>50</v>
      </c>
      <c r="J40" s="1" t="s">
        <v>26</v>
      </c>
      <c r="K40" s="1" t="s">
        <v>39</v>
      </c>
      <c r="L40" s="1" t="s">
        <v>207</v>
      </c>
      <c r="M40" s="1" t="s">
        <v>28</v>
      </c>
      <c r="N40" s="1" t="s">
        <v>571</v>
      </c>
      <c r="O40" s="7">
        <v>38059</v>
      </c>
      <c r="P40" s="1" t="s">
        <v>18</v>
      </c>
      <c r="Q40" s="1" t="s">
        <v>47</v>
      </c>
      <c r="R40" s="1" t="s">
        <v>54</v>
      </c>
      <c r="S40" s="1" t="s">
        <v>32</v>
      </c>
      <c r="T40" s="1" t="s">
        <v>44</v>
      </c>
      <c r="U40" s="1" t="s">
        <v>17</v>
      </c>
      <c r="V40" s="1" t="s">
        <v>572</v>
      </c>
      <c r="W40" s="1" t="s">
        <v>573</v>
      </c>
    </row>
    <row r="41" spans="1:23" ht="15.75" customHeight="1" x14ac:dyDescent="0.35">
      <c r="A41" s="1" t="s">
        <v>574</v>
      </c>
      <c r="B41" s="1" t="s">
        <v>178</v>
      </c>
      <c r="C41" s="1" t="s">
        <v>575</v>
      </c>
      <c r="D41" s="1" t="s">
        <v>576</v>
      </c>
      <c r="E41" s="1" t="s">
        <v>577</v>
      </c>
      <c r="F41" s="1" t="s">
        <v>212</v>
      </c>
      <c r="G41" s="1" t="s">
        <v>24</v>
      </c>
      <c r="H41" s="7">
        <v>22315</v>
      </c>
      <c r="I41" s="1">
        <v>60</v>
      </c>
      <c r="J41" s="1" t="s">
        <v>38</v>
      </c>
      <c r="K41" s="1" t="s">
        <v>15</v>
      </c>
      <c r="L41" s="1" t="s">
        <v>183</v>
      </c>
      <c r="M41" s="1" t="s">
        <v>28</v>
      </c>
      <c r="N41" s="1" t="s">
        <v>213</v>
      </c>
      <c r="O41" s="7">
        <v>38059</v>
      </c>
      <c r="P41" s="1" t="s">
        <v>18</v>
      </c>
      <c r="Q41" s="1" t="s">
        <v>53</v>
      </c>
      <c r="R41" s="1" t="s">
        <v>20</v>
      </c>
      <c r="S41" s="1" t="s">
        <v>20</v>
      </c>
      <c r="T41" s="1" t="s">
        <v>23</v>
      </c>
      <c r="U41" s="1" t="s">
        <v>46</v>
      </c>
      <c r="V41" s="1" t="s">
        <v>578</v>
      </c>
      <c r="W41" s="1" t="s">
        <v>579</v>
      </c>
    </row>
    <row r="42" spans="1:23" ht="15.75" customHeight="1" x14ac:dyDescent="0.35">
      <c r="A42" s="1" t="s">
        <v>580</v>
      </c>
      <c r="B42" s="1" t="s">
        <v>178</v>
      </c>
      <c r="C42" s="1" t="s">
        <v>581</v>
      </c>
      <c r="D42" s="1" t="s">
        <v>582</v>
      </c>
      <c r="E42" s="1" t="s">
        <v>583</v>
      </c>
      <c r="F42" s="1" t="s">
        <v>584</v>
      </c>
      <c r="G42" s="1" t="s">
        <v>24</v>
      </c>
      <c r="H42" s="7">
        <v>26318</v>
      </c>
      <c r="I42" s="1">
        <v>49</v>
      </c>
      <c r="J42" s="1" t="s">
        <v>26</v>
      </c>
      <c r="K42" s="1" t="s">
        <v>39</v>
      </c>
      <c r="L42" s="1" t="s">
        <v>193</v>
      </c>
      <c r="M42" s="1" t="s">
        <v>28</v>
      </c>
      <c r="N42" s="1" t="s">
        <v>585</v>
      </c>
      <c r="O42" s="7">
        <v>38080</v>
      </c>
      <c r="P42" s="1" t="s">
        <v>18</v>
      </c>
      <c r="Q42" s="1" t="s">
        <v>57</v>
      </c>
      <c r="R42" s="1" t="s">
        <v>62</v>
      </c>
      <c r="S42" s="1" t="s">
        <v>20</v>
      </c>
      <c r="T42" s="1" t="s">
        <v>44</v>
      </c>
      <c r="U42" s="1" t="s">
        <v>46</v>
      </c>
      <c r="V42" s="1" t="s">
        <v>586</v>
      </c>
      <c r="W42" s="1" t="s">
        <v>587</v>
      </c>
    </row>
    <row r="43" spans="1:23" ht="15.75" customHeight="1" x14ac:dyDescent="0.35">
      <c r="A43" s="1" t="s">
        <v>588</v>
      </c>
      <c r="B43" s="1" t="s">
        <v>178</v>
      </c>
      <c r="C43" s="1" t="s">
        <v>589</v>
      </c>
      <c r="D43" s="1" t="s">
        <v>590</v>
      </c>
      <c r="E43" s="1" t="s">
        <v>591</v>
      </c>
      <c r="F43" s="1" t="s">
        <v>592</v>
      </c>
      <c r="G43" s="1" t="s">
        <v>24</v>
      </c>
      <c r="H43" s="7">
        <v>29040</v>
      </c>
      <c r="I43" s="1">
        <v>42</v>
      </c>
      <c r="J43" s="1" t="s">
        <v>26</v>
      </c>
      <c r="K43" s="1" t="s">
        <v>39</v>
      </c>
      <c r="L43" s="1" t="s">
        <v>329</v>
      </c>
      <c r="M43" s="1" t="s">
        <v>40</v>
      </c>
      <c r="N43" s="1" t="s">
        <v>593</v>
      </c>
      <c r="O43" s="7">
        <v>38108</v>
      </c>
      <c r="P43" s="1" t="s">
        <v>18</v>
      </c>
      <c r="Q43" s="1" t="s">
        <v>65</v>
      </c>
      <c r="R43" s="1" t="s">
        <v>50</v>
      </c>
      <c r="S43" s="1" t="s">
        <v>32</v>
      </c>
      <c r="T43" s="1" t="s">
        <v>23</v>
      </c>
      <c r="U43" s="1" t="s">
        <v>17</v>
      </c>
      <c r="V43" s="1" t="s">
        <v>594</v>
      </c>
      <c r="W43" s="1" t="s">
        <v>595</v>
      </c>
    </row>
    <row r="44" spans="1:23" ht="15.75" customHeight="1" x14ac:dyDescent="0.35">
      <c r="A44" s="1" t="s">
        <v>596</v>
      </c>
      <c r="B44" s="1" t="s">
        <v>182</v>
      </c>
      <c r="C44" s="1" t="s">
        <v>325</v>
      </c>
      <c r="D44" s="1" t="s">
        <v>591</v>
      </c>
      <c r="E44" s="1" t="s">
        <v>335</v>
      </c>
      <c r="F44" s="1" t="s">
        <v>597</v>
      </c>
      <c r="G44" s="1" t="s">
        <v>13</v>
      </c>
      <c r="H44" s="7">
        <v>24678</v>
      </c>
      <c r="I44" s="1">
        <v>54</v>
      </c>
      <c r="J44" s="1" t="s">
        <v>38</v>
      </c>
      <c r="K44" s="1" t="s">
        <v>39</v>
      </c>
      <c r="L44" s="1" t="s">
        <v>207</v>
      </c>
      <c r="M44" s="1" t="s">
        <v>40</v>
      </c>
      <c r="N44" s="1" t="s">
        <v>598</v>
      </c>
      <c r="O44" s="7">
        <v>38169</v>
      </c>
      <c r="P44" s="1" t="s">
        <v>18</v>
      </c>
      <c r="Q44" s="1" t="s">
        <v>31</v>
      </c>
      <c r="R44" s="1" t="s">
        <v>50</v>
      </c>
      <c r="S44" s="1" t="s">
        <v>32</v>
      </c>
      <c r="T44" s="1" t="s">
        <v>44</v>
      </c>
      <c r="U44" s="1" t="s">
        <v>46</v>
      </c>
      <c r="V44" s="1" t="s">
        <v>599</v>
      </c>
      <c r="W44" s="1" t="s">
        <v>600</v>
      </c>
    </row>
    <row r="45" spans="1:23" ht="15.75" customHeight="1" x14ac:dyDescent="0.35">
      <c r="A45" s="1" t="s">
        <v>601</v>
      </c>
      <c r="B45" s="1" t="s">
        <v>178</v>
      </c>
      <c r="C45" s="1" t="s">
        <v>602</v>
      </c>
      <c r="D45" s="1" t="s">
        <v>603</v>
      </c>
      <c r="E45" s="1" t="s">
        <v>604</v>
      </c>
      <c r="F45" s="1" t="s">
        <v>605</v>
      </c>
      <c r="G45" s="1" t="s">
        <v>24</v>
      </c>
      <c r="H45" s="7">
        <v>25051</v>
      </c>
      <c r="I45" s="1">
        <v>53</v>
      </c>
      <c r="J45" s="1" t="s">
        <v>38</v>
      </c>
      <c r="K45" s="1" t="s">
        <v>39</v>
      </c>
      <c r="L45" s="1" t="s">
        <v>268</v>
      </c>
      <c r="M45" s="1" t="s">
        <v>28</v>
      </c>
      <c r="N45" s="1" t="s">
        <v>606</v>
      </c>
      <c r="O45" s="7">
        <v>38313</v>
      </c>
      <c r="P45" s="1" t="s">
        <v>18</v>
      </c>
      <c r="Q45" s="1" t="s">
        <v>61</v>
      </c>
      <c r="R45" s="1" t="s">
        <v>54</v>
      </c>
      <c r="S45" s="1" t="s">
        <v>32</v>
      </c>
      <c r="T45" s="1" t="s">
        <v>23</v>
      </c>
      <c r="U45" s="1" t="s">
        <v>70</v>
      </c>
      <c r="V45" s="1" t="s">
        <v>607</v>
      </c>
      <c r="W45" s="1" t="s">
        <v>608</v>
      </c>
    </row>
    <row r="46" spans="1:23" ht="15.75" customHeight="1" x14ac:dyDescent="0.35">
      <c r="A46" s="1" t="s">
        <v>609</v>
      </c>
      <c r="B46" s="1" t="s">
        <v>210</v>
      </c>
      <c r="C46" s="1" t="s">
        <v>610</v>
      </c>
      <c r="D46" s="1" t="s">
        <v>487</v>
      </c>
      <c r="E46" s="1" t="s">
        <v>326</v>
      </c>
      <c r="F46" s="1" t="s">
        <v>229</v>
      </c>
      <c r="G46" s="1" t="s">
        <v>24</v>
      </c>
      <c r="H46" s="7">
        <v>24108</v>
      </c>
      <c r="I46" s="1">
        <v>55</v>
      </c>
      <c r="J46" s="1" t="s">
        <v>38</v>
      </c>
      <c r="K46" s="1" t="s">
        <v>39</v>
      </c>
      <c r="L46" s="1" t="s">
        <v>207</v>
      </c>
      <c r="M46" s="1" t="s">
        <v>28</v>
      </c>
      <c r="N46" s="1" t="s">
        <v>230</v>
      </c>
      <c r="O46" s="7">
        <v>38375</v>
      </c>
      <c r="P46" s="1" t="s">
        <v>30</v>
      </c>
      <c r="Q46" s="1" t="s">
        <v>65</v>
      </c>
      <c r="R46" s="1" t="s">
        <v>34</v>
      </c>
      <c r="S46" s="1" t="s">
        <v>32</v>
      </c>
      <c r="T46" s="1" t="s">
        <v>23</v>
      </c>
      <c r="U46" s="1" t="s">
        <v>17</v>
      </c>
      <c r="V46" s="1" t="s">
        <v>611</v>
      </c>
      <c r="W46" s="1" t="s">
        <v>612</v>
      </c>
    </row>
    <row r="47" spans="1:23" ht="15.75" customHeight="1" x14ac:dyDescent="0.35">
      <c r="A47" s="1" t="s">
        <v>613</v>
      </c>
      <c r="B47" s="1" t="s">
        <v>178</v>
      </c>
      <c r="C47" s="1" t="s">
        <v>614</v>
      </c>
      <c r="D47" s="1" t="s">
        <v>377</v>
      </c>
      <c r="E47" s="1" t="s">
        <v>615</v>
      </c>
      <c r="F47" s="1" t="s">
        <v>616</v>
      </c>
      <c r="G47" s="1" t="s">
        <v>24</v>
      </c>
      <c r="H47" s="7">
        <v>27050</v>
      </c>
      <c r="I47" s="1">
        <v>47</v>
      </c>
      <c r="J47" s="1" t="s">
        <v>26</v>
      </c>
      <c r="K47" s="1" t="s">
        <v>27</v>
      </c>
      <c r="L47" s="1" t="s">
        <v>186</v>
      </c>
      <c r="M47" s="1" t="s">
        <v>28</v>
      </c>
      <c r="N47" s="1" t="s">
        <v>617</v>
      </c>
      <c r="O47" s="7">
        <v>38534</v>
      </c>
      <c r="P47" s="1" t="s">
        <v>18</v>
      </c>
      <c r="Q47" s="1" t="s">
        <v>65</v>
      </c>
      <c r="R47" s="1" t="s">
        <v>22</v>
      </c>
      <c r="S47" s="1" t="s">
        <v>32</v>
      </c>
      <c r="T47" s="1" t="s">
        <v>35</v>
      </c>
      <c r="U47" s="1" t="s">
        <v>46</v>
      </c>
      <c r="V47" s="1" t="s">
        <v>618</v>
      </c>
      <c r="W47" s="1" t="s">
        <v>619</v>
      </c>
    </row>
    <row r="48" spans="1:23" ht="15.75" customHeight="1" x14ac:dyDescent="0.35">
      <c r="A48" s="1" t="s">
        <v>620</v>
      </c>
      <c r="B48" s="1" t="s">
        <v>178</v>
      </c>
      <c r="C48" s="1" t="s">
        <v>621</v>
      </c>
      <c r="D48" s="1" t="s">
        <v>622</v>
      </c>
      <c r="E48" s="1" t="s">
        <v>623</v>
      </c>
      <c r="F48" s="1" t="s">
        <v>270</v>
      </c>
      <c r="G48" s="1" t="s">
        <v>24</v>
      </c>
      <c r="H48" s="7">
        <v>26714</v>
      </c>
      <c r="I48" s="1">
        <v>48</v>
      </c>
      <c r="J48" s="1" t="s">
        <v>26</v>
      </c>
      <c r="K48" s="1" t="s">
        <v>15</v>
      </c>
      <c r="L48" s="1" t="s">
        <v>183</v>
      </c>
      <c r="M48" s="1" t="s">
        <v>40</v>
      </c>
      <c r="N48" s="1" t="s">
        <v>271</v>
      </c>
      <c r="O48" s="7">
        <v>38579</v>
      </c>
      <c r="P48" s="1" t="s">
        <v>18</v>
      </c>
      <c r="Q48" s="1" t="s">
        <v>53</v>
      </c>
      <c r="R48" s="1" t="s">
        <v>50</v>
      </c>
      <c r="S48" s="1" t="s">
        <v>32</v>
      </c>
      <c r="T48" s="1" t="s">
        <v>35</v>
      </c>
      <c r="U48" s="1" t="s">
        <v>17</v>
      </c>
      <c r="V48" s="1" t="s">
        <v>624</v>
      </c>
      <c r="W48" s="1" t="s">
        <v>625</v>
      </c>
    </row>
    <row r="49" spans="1:23" ht="15.75" customHeight="1" x14ac:dyDescent="0.35">
      <c r="A49" s="1" t="s">
        <v>626</v>
      </c>
      <c r="B49" s="1" t="s">
        <v>178</v>
      </c>
      <c r="C49" s="1" t="s">
        <v>627</v>
      </c>
      <c r="D49" s="1" t="s">
        <v>628</v>
      </c>
      <c r="E49" s="1" t="s">
        <v>629</v>
      </c>
      <c r="F49" s="1" t="s">
        <v>630</v>
      </c>
      <c r="G49" s="1" t="s">
        <v>24</v>
      </c>
      <c r="H49" s="7">
        <v>25325</v>
      </c>
      <c r="I49" s="1">
        <v>52</v>
      </c>
      <c r="J49" s="1" t="s">
        <v>38</v>
      </c>
      <c r="K49" s="1" t="s">
        <v>39</v>
      </c>
      <c r="L49" s="1" t="s">
        <v>329</v>
      </c>
      <c r="M49" s="1" t="s">
        <v>28</v>
      </c>
      <c r="N49" s="1" t="s">
        <v>631</v>
      </c>
      <c r="O49" s="7">
        <v>38718</v>
      </c>
      <c r="P49" s="1" t="s">
        <v>18</v>
      </c>
      <c r="Q49" s="1" t="s">
        <v>65</v>
      </c>
      <c r="R49" s="1" t="s">
        <v>22</v>
      </c>
      <c r="S49" s="1" t="s">
        <v>32</v>
      </c>
      <c r="T49" s="1" t="s">
        <v>23</v>
      </c>
      <c r="U49" s="1" t="s">
        <v>17</v>
      </c>
      <c r="V49" s="1" t="s">
        <v>632</v>
      </c>
      <c r="W49" s="1" t="s">
        <v>633</v>
      </c>
    </row>
    <row r="50" spans="1:23" ht="15.75" customHeight="1" x14ac:dyDescent="0.35">
      <c r="A50" s="1" t="s">
        <v>634</v>
      </c>
      <c r="B50" s="1" t="s">
        <v>178</v>
      </c>
      <c r="C50" s="1" t="s">
        <v>432</v>
      </c>
      <c r="D50" s="1" t="s">
        <v>635</v>
      </c>
      <c r="E50" s="1" t="s">
        <v>636</v>
      </c>
      <c r="F50" s="1" t="s">
        <v>171</v>
      </c>
      <c r="G50" s="1" t="s">
        <v>24</v>
      </c>
      <c r="H50" s="7">
        <v>26927</v>
      </c>
      <c r="I50" s="1">
        <v>47</v>
      </c>
      <c r="J50" s="1" t="s">
        <v>26</v>
      </c>
      <c r="K50" s="1" t="s">
        <v>39</v>
      </c>
      <c r="L50" s="1" t="s">
        <v>637</v>
      </c>
      <c r="M50" s="1" t="s">
        <v>28</v>
      </c>
      <c r="N50" s="1" t="s">
        <v>638</v>
      </c>
      <c r="O50" s="7">
        <v>38749</v>
      </c>
      <c r="P50" s="1" t="s">
        <v>18</v>
      </c>
      <c r="Q50" s="1" t="s">
        <v>65</v>
      </c>
      <c r="R50" s="1" t="s">
        <v>20</v>
      </c>
      <c r="S50" s="1" t="s">
        <v>20</v>
      </c>
      <c r="T50" s="1" t="s">
        <v>23</v>
      </c>
      <c r="U50" s="1" t="s">
        <v>17</v>
      </c>
      <c r="V50" s="1" t="s">
        <v>639</v>
      </c>
      <c r="W50" s="1" t="s">
        <v>640</v>
      </c>
    </row>
    <row r="51" spans="1:23" ht="15.75" customHeight="1" x14ac:dyDescent="0.35">
      <c r="A51" s="1" t="s">
        <v>641</v>
      </c>
      <c r="B51" s="1" t="s">
        <v>178</v>
      </c>
      <c r="C51" s="1" t="s">
        <v>642</v>
      </c>
      <c r="D51" s="1" t="s">
        <v>446</v>
      </c>
      <c r="E51" s="1" t="s">
        <v>643</v>
      </c>
      <c r="F51" s="1" t="s">
        <v>150</v>
      </c>
      <c r="G51" s="1" t="s">
        <v>24</v>
      </c>
      <c r="H51" s="7">
        <v>29828</v>
      </c>
      <c r="I51" s="1">
        <v>39</v>
      </c>
      <c r="J51" s="1" t="s">
        <v>14</v>
      </c>
      <c r="K51" s="1" t="s">
        <v>39</v>
      </c>
      <c r="L51" s="1" t="s">
        <v>329</v>
      </c>
      <c r="M51" s="1" t="s">
        <v>28</v>
      </c>
      <c r="N51" s="1" t="s">
        <v>644</v>
      </c>
      <c r="O51" s="7">
        <v>38749</v>
      </c>
      <c r="P51" s="1" t="s">
        <v>18</v>
      </c>
      <c r="Q51" s="1" t="s">
        <v>65</v>
      </c>
      <c r="R51" s="1" t="s">
        <v>58</v>
      </c>
      <c r="S51" s="1" t="s">
        <v>32</v>
      </c>
      <c r="T51" s="1" t="s">
        <v>35</v>
      </c>
      <c r="U51" s="1" t="s">
        <v>46</v>
      </c>
      <c r="V51" s="1" t="s">
        <v>645</v>
      </c>
      <c r="W51" s="1" t="s">
        <v>646</v>
      </c>
    </row>
    <row r="52" spans="1:23" ht="15.75" customHeight="1" x14ac:dyDescent="0.35">
      <c r="A52" s="1" t="s">
        <v>647</v>
      </c>
      <c r="B52" s="1" t="s">
        <v>182</v>
      </c>
      <c r="C52" s="1" t="s">
        <v>648</v>
      </c>
      <c r="D52" s="1" t="s">
        <v>649</v>
      </c>
      <c r="E52" s="1" t="s">
        <v>650</v>
      </c>
      <c r="F52" s="1" t="s">
        <v>154</v>
      </c>
      <c r="G52" s="1" t="s">
        <v>13</v>
      </c>
      <c r="H52" s="7">
        <v>29655</v>
      </c>
      <c r="I52" s="1">
        <v>40</v>
      </c>
      <c r="J52" s="1" t="s">
        <v>14</v>
      </c>
      <c r="K52" s="1" t="s">
        <v>15</v>
      </c>
      <c r="L52" s="1" t="s">
        <v>221</v>
      </c>
      <c r="M52" s="1" t="s">
        <v>40</v>
      </c>
      <c r="N52" s="1" t="s">
        <v>651</v>
      </c>
      <c r="O52" s="7">
        <v>38763</v>
      </c>
      <c r="P52" s="1" t="s">
        <v>18</v>
      </c>
      <c r="Q52" s="1" t="s">
        <v>68</v>
      </c>
      <c r="R52" s="1" t="s">
        <v>54</v>
      </c>
      <c r="S52" s="1" t="s">
        <v>32</v>
      </c>
      <c r="T52" s="1" t="s">
        <v>35</v>
      </c>
      <c r="U52" s="1" t="s">
        <v>56</v>
      </c>
      <c r="V52" s="1" t="s">
        <v>652</v>
      </c>
      <c r="W52" s="1" t="s">
        <v>653</v>
      </c>
    </row>
    <row r="53" spans="1:23" ht="15.75" customHeight="1" x14ac:dyDescent="0.35">
      <c r="A53" s="1" t="s">
        <v>654</v>
      </c>
      <c r="B53" s="1" t="s">
        <v>182</v>
      </c>
      <c r="C53" s="1" t="s">
        <v>655</v>
      </c>
      <c r="D53" s="1" t="s">
        <v>447</v>
      </c>
      <c r="E53" s="1" t="s">
        <v>656</v>
      </c>
      <c r="F53" s="1" t="s">
        <v>206</v>
      </c>
      <c r="G53" s="1" t="s">
        <v>13</v>
      </c>
      <c r="H53" s="7">
        <v>30532</v>
      </c>
      <c r="I53" s="1">
        <v>37</v>
      </c>
      <c r="J53" s="1" t="s">
        <v>14</v>
      </c>
      <c r="K53" s="1" t="s">
        <v>39</v>
      </c>
      <c r="L53" s="1" t="s">
        <v>207</v>
      </c>
      <c r="M53" s="1" t="s">
        <v>40</v>
      </c>
      <c r="N53" s="1" t="s">
        <v>208</v>
      </c>
      <c r="O53" s="7">
        <v>38899</v>
      </c>
      <c r="P53" s="1" t="s">
        <v>30</v>
      </c>
      <c r="Q53" s="1" t="s">
        <v>68</v>
      </c>
      <c r="R53" s="1" t="s">
        <v>54</v>
      </c>
      <c r="S53" s="1" t="s">
        <v>32</v>
      </c>
      <c r="T53" s="1" t="s">
        <v>35</v>
      </c>
      <c r="U53" s="1" t="s">
        <v>60</v>
      </c>
      <c r="V53" s="1" t="s">
        <v>657</v>
      </c>
      <c r="W53" s="1" t="s">
        <v>658</v>
      </c>
    </row>
    <row r="54" spans="1:23" ht="15.75" customHeight="1" x14ac:dyDescent="0.35">
      <c r="A54" s="1" t="s">
        <v>659</v>
      </c>
      <c r="B54" s="1" t="s">
        <v>182</v>
      </c>
      <c r="C54" s="1" t="s">
        <v>660</v>
      </c>
      <c r="D54" s="1" t="s">
        <v>326</v>
      </c>
      <c r="E54" s="1" t="s">
        <v>661</v>
      </c>
      <c r="F54" s="1" t="s">
        <v>662</v>
      </c>
      <c r="G54" s="1" t="s">
        <v>13</v>
      </c>
      <c r="H54" s="7">
        <v>28731</v>
      </c>
      <c r="I54" s="1">
        <v>42</v>
      </c>
      <c r="J54" s="1" t="s">
        <v>26</v>
      </c>
      <c r="K54" s="1" t="s">
        <v>39</v>
      </c>
      <c r="L54" s="1" t="s">
        <v>193</v>
      </c>
      <c r="M54" s="1" t="s">
        <v>28</v>
      </c>
      <c r="N54" s="1" t="s">
        <v>663</v>
      </c>
      <c r="O54" s="7">
        <v>38930</v>
      </c>
      <c r="P54" s="1" t="s">
        <v>18</v>
      </c>
      <c r="Q54" s="1" t="s">
        <v>68</v>
      </c>
      <c r="R54" s="1" t="s">
        <v>34</v>
      </c>
      <c r="S54" s="1" t="s">
        <v>32</v>
      </c>
      <c r="T54" s="1" t="s">
        <v>35</v>
      </c>
      <c r="U54" s="1" t="s">
        <v>41</v>
      </c>
      <c r="V54" s="1" t="s">
        <v>664</v>
      </c>
      <c r="W54" s="1" t="s">
        <v>665</v>
      </c>
    </row>
    <row r="55" spans="1:23" ht="15.75" customHeight="1" x14ac:dyDescent="0.35">
      <c r="A55" s="1" t="s">
        <v>666</v>
      </c>
      <c r="B55" s="1" t="s">
        <v>178</v>
      </c>
      <c r="C55" s="1" t="s">
        <v>667</v>
      </c>
      <c r="D55" s="1" t="s">
        <v>668</v>
      </c>
      <c r="E55" s="1" t="s">
        <v>447</v>
      </c>
      <c r="F55" s="1" t="s">
        <v>259</v>
      </c>
      <c r="G55" s="1" t="s">
        <v>24</v>
      </c>
      <c r="H55" s="7">
        <v>31268</v>
      </c>
      <c r="I55" s="1">
        <v>35</v>
      </c>
      <c r="J55" s="1" t="s">
        <v>14</v>
      </c>
      <c r="K55" s="1" t="s">
        <v>39</v>
      </c>
      <c r="L55" s="1" t="s">
        <v>260</v>
      </c>
      <c r="M55" s="1" t="s">
        <v>40</v>
      </c>
      <c r="N55" s="1" t="s">
        <v>261</v>
      </c>
      <c r="O55" s="7">
        <v>38933</v>
      </c>
      <c r="P55" s="1" t="s">
        <v>18</v>
      </c>
      <c r="Q55" s="1" t="s">
        <v>65</v>
      </c>
      <c r="R55" s="1" t="s">
        <v>22</v>
      </c>
      <c r="S55" s="1" t="s">
        <v>32</v>
      </c>
      <c r="T55" s="1" t="s">
        <v>23</v>
      </c>
      <c r="U55" s="1" t="s">
        <v>17</v>
      </c>
      <c r="V55" s="1" t="s">
        <v>669</v>
      </c>
      <c r="W55" s="1" t="s">
        <v>670</v>
      </c>
    </row>
    <row r="56" spans="1:23" ht="15.75" customHeight="1" x14ac:dyDescent="0.35">
      <c r="A56" s="1" t="s">
        <v>671</v>
      </c>
      <c r="B56" s="1" t="s">
        <v>114</v>
      </c>
      <c r="C56" s="1" t="s">
        <v>672</v>
      </c>
      <c r="D56" s="1" t="s">
        <v>673</v>
      </c>
      <c r="E56" s="1" t="s">
        <v>674</v>
      </c>
      <c r="F56" s="1" t="s">
        <v>245</v>
      </c>
      <c r="G56" s="1" t="s">
        <v>13</v>
      </c>
      <c r="H56" s="7">
        <v>29314</v>
      </c>
      <c r="I56" s="1">
        <v>41</v>
      </c>
      <c r="J56" s="1" t="s">
        <v>26</v>
      </c>
      <c r="K56" s="1" t="s">
        <v>27</v>
      </c>
      <c r="L56" s="1" t="s">
        <v>186</v>
      </c>
      <c r="M56" s="1" t="s">
        <v>28</v>
      </c>
      <c r="N56" s="1" t="s">
        <v>246</v>
      </c>
      <c r="O56" s="7">
        <v>38956</v>
      </c>
      <c r="P56" s="1" t="s">
        <v>18</v>
      </c>
      <c r="Q56" s="1" t="s">
        <v>31</v>
      </c>
      <c r="R56" s="1" t="s">
        <v>20</v>
      </c>
      <c r="S56" s="1" t="s">
        <v>20</v>
      </c>
      <c r="T56" s="1" t="s">
        <v>44</v>
      </c>
      <c r="U56" s="1" t="s">
        <v>46</v>
      </c>
      <c r="V56" s="1" t="s">
        <v>675</v>
      </c>
      <c r="W56" s="1" t="s">
        <v>676</v>
      </c>
    </row>
    <row r="57" spans="1:23" ht="15.75" customHeight="1" x14ac:dyDescent="0.35">
      <c r="A57" s="1" t="s">
        <v>677</v>
      </c>
      <c r="B57" s="1" t="s">
        <v>178</v>
      </c>
      <c r="C57" s="1" t="s">
        <v>678</v>
      </c>
      <c r="D57" s="1" t="s">
        <v>679</v>
      </c>
      <c r="E57" s="1" t="s">
        <v>407</v>
      </c>
      <c r="F57" s="1" t="s">
        <v>274</v>
      </c>
      <c r="G57" s="1" t="s">
        <v>24</v>
      </c>
      <c r="H57" s="7">
        <v>22479</v>
      </c>
      <c r="I57" s="1">
        <v>60</v>
      </c>
      <c r="J57" s="1" t="s">
        <v>38</v>
      </c>
      <c r="K57" s="1" t="s">
        <v>27</v>
      </c>
      <c r="L57" s="1" t="s">
        <v>186</v>
      </c>
      <c r="M57" s="1" t="s">
        <v>28</v>
      </c>
      <c r="N57" s="1" t="s">
        <v>275</v>
      </c>
      <c r="O57" s="7">
        <v>38971</v>
      </c>
      <c r="P57" s="1" t="s">
        <v>18</v>
      </c>
      <c r="Q57" s="1" t="s">
        <v>65</v>
      </c>
      <c r="R57" s="1" t="s">
        <v>22</v>
      </c>
      <c r="S57" s="1" t="s">
        <v>32</v>
      </c>
      <c r="T57" s="1" t="s">
        <v>23</v>
      </c>
      <c r="U57" s="1" t="s">
        <v>17</v>
      </c>
      <c r="V57" s="1" t="s">
        <v>680</v>
      </c>
      <c r="W57" s="1" t="s">
        <v>681</v>
      </c>
    </row>
    <row r="58" spans="1:23" ht="15.75" customHeight="1" x14ac:dyDescent="0.35">
      <c r="A58" s="1" t="s">
        <v>682</v>
      </c>
      <c r="B58" s="1" t="s">
        <v>178</v>
      </c>
      <c r="C58" s="1" t="s">
        <v>683</v>
      </c>
      <c r="D58" s="1" t="s">
        <v>684</v>
      </c>
      <c r="E58" s="1" t="s">
        <v>685</v>
      </c>
      <c r="F58" s="1" t="s">
        <v>272</v>
      </c>
      <c r="G58" s="1" t="s">
        <v>24</v>
      </c>
      <c r="H58" s="7">
        <v>30186</v>
      </c>
      <c r="I58" s="1">
        <v>38</v>
      </c>
      <c r="J58" s="1" t="s">
        <v>14</v>
      </c>
      <c r="K58" s="1" t="s">
        <v>27</v>
      </c>
      <c r="L58" s="1" t="s">
        <v>186</v>
      </c>
      <c r="M58" s="1" t="s">
        <v>40</v>
      </c>
      <c r="N58" s="1" t="s">
        <v>273</v>
      </c>
      <c r="O58" s="7">
        <v>39034</v>
      </c>
      <c r="P58" s="1" t="s">
        <v>18</v>
      </c>
      <c r="Q58" s="1" t="s">
        <v>19</v>
      </c>
      <c r="R58" s="1" t="s">
        <v>50</v>
      </c>
      <c r="S58" s="1" t="s">
        <v>32</v>
      </c>
      <c r="T58" s="1" t="s">
        <v>23</v>
      </c>
      <c r="U58" s="1" t="s">
        <v>17</v>
      </c>
      <c r="V58" s="1" t="s">
        <v>686</v>
      </c>
      <c r="W58" s="1" t="s">
        <v>687</v>
      </c>
    </row>
    <row r="59" spans="1:23" ht="15.75" customHeight="1" x14ac:dyDescent="0.35">
      <c r="A59" s="1" t="s">
        <v>688</v>
      </c>
      <c r="B59" s="1" t="s">
        <v>178</v>
      </c>
      <c r="C59" s="1" t="s">
        <v>689</v>
      </c>
      <c r="D59" s="1" t="s">
        <v>690</v>
      </c>
      <c r="E59" s="1" t="s">
        <v>691</v>
      </c>
      <c r="F59" s="1" t="s">
        <v>185</v>
      </c>
      <c r="G59" s="1" t="s">
        <v>24</v>
      </c>
      <c r="H59" s="7">
        <v>26399</v>
      </c>
      <c r="I59" s="1">
        <v>49</v>
      </c>
      <c r="J59" s="1" t="s">
        <v>26</v>
      </c>
      <c r="K59" s="1" t="s">
        <v>27</v>
      </c>
      <c r="L59" s="1" t="s">
        <v>186</v>
      </c>
      <c r="M59" s="1" t="s">
        <v>28</v>
      </c>
      <c r="N59" s="1" t="s">
        <v>187</v>
      </c>
      <c r="O59" s="7">
        <v>39083</v>
      </c>
      <c r="P59" s="1" t="s">
        <v>30</v>
      </c>
      <c r="Q59" s="1" t="s">
        <v>68</v>
      </c>
      <c r="R59" s="1" t="s">
        <v>20</v>
      </c>
      <c r="S59" s="1" t="s">
        <v>20</v>
      </c>
      <c r="T59" s="1" t="s">
        <v>35</v>
      </c>
      <c r="U59" s="1" t="s">
        <v>60</v>
      </c>
      <c r="V59" s="1" t="s">
        <v>692</v>
      </c>
      <c r="W59" s="1" t="s">
        <v>693</v>
      </c>
    </row>
    <row r="60" spans="1:23" ht="15.75" customHeight="1" x14ac:dyDescent="0.35">
      <c r="A60" s="1" t="s">
        <v>694</v>
      </c>
      <c r="B60" s="1" t="s">
        <v>178</v>
      </c>
      <c r="C60" s="1" t="s">
        <v>591</v>
      </c>
      <c r="D60" s="1" t="s">
        <v>432</v>
      </c>
      <c r="E60" s="1" t="s">
        <v>695</v>
      </c>
      <c r="F60" s="1" t="s">
        <v>696</v>
      </c>
      <c r="G60" s="1" t="s">
        <v>24</v>
      </c>
      <c r="H60" s="7">
        <v>30417</v>
      </c>
      <c r="I60" s="1">
        <v>38</v>
      </c>
      <c r="J60" s="1" t="s">
        <v>14</v>
      </c>
      <c r="K60" s="1" t="s">
        <v>39</v>
      </c>
      <c r="L60" s="1" t="s">
        <v>52</v>
      </c>
      <c r="M60" s="1" t="s">
        <v>28</v>
      </c>
      <c r="N60" s="1" t="s">
        <v>697</v>
      </c>
      <c r="O60" s="7">
        <v>39095</v>
      </c>
      <c r="P60" s="1" t="s">
        <v>18</v>
      </c>
      <c r="Q60" s="1" t="s">
        <v>68</v>
      </c>
      <c r="R60" s="1" t="s">
        <v>58</v>
      </c>
      <c r="S60" s="1" t="s">
        <v>32</v>
      </c>
      <c r="T60" s="1" t="s">
        <v>35</v>
      </c>
      <c r="U60" s="1" t="s">
        <v>52</v>
      </c>
      <c r="V60" s="1" t="s">
        <v>698</v>
      </c>
      <c r="W60" s="1" t="s">
        <v>699</v>
      </c>
    </row>
    <row r="61" spans="1:23" ht="15.75" customHeight="1" x14ac:dyDescent="0.35">
      <c r="A61" s="1" t="s">
        <v>700</v>
      </c>
      <c r="B61" s="1" t="s">
        <v>178</v>
      </c>
      <c r="C61" s="1" t="s">
        <v>701</v>
      </c>
      <c r="D61" s="1" t="s">
        <v>326</v>
      </c>
      <c r="E61" s="1" t="s">
        <v>702</v>
      </c>
      <c r="F61" s="1" t="s">
        <v>145</v>
      </c>
      <c r="G61" s="1" t="s">
        <v>24</v>
      </c>
      <c r="H61" s="7">
        <v>29543</v>
      </c>
      <c r="I61" s="1">
        <v>40</v>
      </c>
      <c r="J61" s="1" t="s">
        <v>14</v>
      </c>
      <c r="K61" s="1" t="s">
        <v>39</v>
      </c>
      <c r="L61" s="1" t="s">
        <v>703</v>
      </c>
      <c r="M61" s="1" t="s">
        <v>28</v>
      </c>
      <c r="N61" s="1" t="s">
        <v>704</v>
      </c>
      <c r="O61" s="7">
        <v>39095</v>
      </c>
      <c r="P61" s="1" t="s">
        <v>18</v>
      </c>
      <c r="Q61" s="1" t="s">
        <v>68</v>
      </c>
      <c r="R61" s="1" t="s">
        <v>54</v>
      </c>
      <c r="S61" s="1" t="s">
        <v>32</v>
      </c>
      <c r="T61" s="1" t="s">
        <v>35</v>
      </c>
      <c r="U61" s="1" t="s">
        <v>60</v>
      </c>
      <c r="V61" s="1" t="s">
        <v>705</v>
      </c>
      <c r="W61" s="1" t="s">
        <v>706</v>
      </c>
    </row>
    <row r="62" spans="1:23" ht="15.75" customHeight="1" x14ac:dyDescent="0.35">
      <c r="A62" s="1" t="s">
        <v>707</v>
      </c>
      <c r="B62" s="1" t="s">
        <v>178</v>
      </c>
      <c r="C62" s="1" t="s">
        <v>708</v>
      </c>
      <c r="D62" s="1" t="s">
        <v>635</v>
      </c>
      <c r="E62" s="1" t="s">
        <v>709</v>
      </c>
      <c r="F62" s="1" t="s">
        <v>166</v>
      </c>
      <c r="G62" s="1" t="s">
        <v>24</v>
      </c>
      <c r="H62" s="7">
        <v>29968</v>
      </c>
      <c r="I62" s="1">
        <v>39</v>
      </c>
      <c r="J62" s="1" t="s">
        <v>14</v>
      </c>
      <c r="K62" s="1" t="s">
        <v>39</v>
      </c>
      <c r="L62" s="1" t="s">
        <v>193</v>
      </c>
      <c r="M62" s="1" t="s">
        <v>28</v>
      </c>
      <c r="N62" s="1" t="s">
        <v>710</v>
      </c>
      <c r="O62" s="7">
        <v>39095</v>
      </c>
      <c r="P62" s="1" t="s">
        <v>18</v>
      </c>
      <c r="Q62" s="1" t="s">
        <v>68</v>
      </c>
      <c r="R62" s="1" t="s">
        <v>58</v>
      </c>
      <c r="S62" s="1" t="s">
        <v>32</v>
      </c>
      <c r="T62" s="1" t="s">
        <v>35</v>
      </c>
      <c r="U62" s="1" t="s">
        <v>41</v>
      </c>
      <c r="V62" s="1" t="s">
        <v>711</v>
      </c>
      <c r="W62" s="1" t="s">
        <v>712</v>
      </c>
    </row>
    <row r="63" spans="1:23" ht="15.75" customHeight="1" x14ac:dyDescent="0.35">
      <c r="A63" s="1" t="s">
        <v>713</v>
      </c>
      <c r="B63" s="1" t="s">
        <v>182</v>
      </c>
      <c r="C63" s="1" t="s">
        <v>714</v>
      </c>
      <c r="D63" s="1" t="s">
        <v>715</v>
      </c>
      <c r="E63" s="1" t="s">
        <v>716</v>
      </c>
      <c r="F63" s="1" t="s">
        <v>298</v>
      </c>
      <c r="G63" s="1" t="s">
        <v>24</v>
      </c>
      <c r="H63" s="7">
        <v>30976</v>
      </c>
      <c r="I63" s="1">
        <v>36</v>
      </c>
      <c r="J63" s="1" t="s">
        <v>14</v>
      </c>
      <c r="K63" s="1" t="s">
        <v>39</v>
      </c>
      <c r="L63" s="1" t="s">
        <v>290</v>
      </c>
      <c r="M63" s="1" t="s">
        <v>40</v>
      </c>
      <c r="N63" s="1" t="s">
        <v>299</v>
      </c>
      <c r="O63" s="7">
        <v>39095</v>
      </c>
      <c r="P63" s="1" t="s">
        <v>18</v>
      </c>
      <c r="Q63" s="1" t="s">
        <v>68</v>
      </c>
      <c r="R63" s="1" t="s">
        <v>20</v>
      </c>
      <c r="S63" s="1" t="s">
        <v>20</v>
      </c>
      <c r="T63" s="1" t="s">
        <v>35</v>
      </c>
      <c r="U63" s="1" t="s">
        <v>76</v>
      </c>
      <c r="V63" s="1" t="s">
        <v>717</v>
      </c>
      <c r="W63" s="8" t="s">
        <v>718</v>
      </c>
    </row>
    <row r="64" spans="1:23" ht="15.75" customHeight="1" x14ac:dyDescent="0.35">
      <c r="A64" s="1" t="s">
        <v>719</v>
      </c>
      <c r="B64" s="1" t="s">
        <v>178</v>
      </c>
      <c r="C64" s="1" t="s">
        <v>720</v>
      </c>
      <c r="D64" s="1" t="s">
        <v>721</v>
      </c>
      <c r="E64" s="1" t="s">
        <v>722</v>
      </c>
      <c r="F64" s="1" t="s">
        <v>300</v>
      </c>
      <c r="G64" s="1" t="s">
        <v>24</v>
      </c>
      <c r="H64" s="7">
        <v>29852</v>
      </c>
      <c r="I64" s="1">
        <v>39</v>
      </c>
      <c r="J64" s="1" t="s">
        <v>14</v>
      </c>
      <c r="K64" s="1" t="s">
        <v>15</v>
      </c>
      <c r="L64" s="1" t="s">
        <v>290</v>
      </c>
      <c r="M64" s="1" t="s">
        <v>40</v>
      </c>
      <c r="N64" s="1" t="s">
        <v>301</v>
      </c>
      <c r="O64" s="7">
        <v>39095</v>
      </c>
      <c r="P64" s="1" t="s">
        <v>18</v>
      </c>
      <c r="Q64" s="1" t="s">
        <v>68</v>
      </c>
      <c r="R64" s="1" t="s">
        <v>54</v>
      </c>
      <c r="S64" s="1" t="s">
        <v>32</v>
      </c>
      <c r="T64" s="1" t="s">
        <v>35</v>
      </c>
      <c r="U64" s="1" t="s">
        <v>77</v>
      </c>
      <c r="V64" s="1" t="s">
        <v>723</v>
      </c>
      <c r="W64" s="8" t="s">
        <v>724</v>
      </c>
    </row>
    <row r="65" spans="1:23" ht="15.75" customHeight="1" x14ac:dyDescent="0.35">
      <c r="A65" s="1" t="s">
        <v>725</v>
      </c>
      <c r="B65" s="1" t="s">
        <v>178</v>
      </c>
      <c r="C65" s="1" t="s">
        <v>726</v>
      </c>
      <c r="D65" s="1" t="s">
        <v>727</v>
      </c>
      <c r="E65" s="1" t="s">
        <v>728</v>
      </c>
      <c r="F65" s="1" t="s">
        <v>131</v>
      </c>
      <c r="G65" s="1" t="s">
        <v>24</v>
      </c>
      <c r="H65" s="7">
        <v>27089</v>
      </c>
      <c r="I65" s="1">
        <v>47</v>
      </c>
      <c r="J65" s="1" t="s">
        <v>26</v>
      </c>
      <c r="K65" s="1" t="s">
        <v>39</v>
      </c>
      <c r="L65" s="1" t="s">
        <v>207</v>
      </c>
      <c r="M65" s="1" t="s">
        <v>40</v>
      </c>
      <c r="N65" s="1" t="s">
        <v>729</v>
      </c>
      <c r="O65" s="7">
        <v>39103</v>
      </c>
      <c r="P65" s="1" t="s">
        <v>18</v>
      </c>
      <c r="Q65" s="1" t="s">
        <v>53</v>
      </c>
      <c r="R65" s="1" t="s">
        <v>58</v>
      </c>
      <c r="S65" s="1" t="s">
        <v>32</v>
      </c>
      <c r="T65" s="1" t="s">
        <v>35</v>
      </c>
      <c r="U65" s="1" t="s">
        <v>46</v>
      </c>
      <c r="V65" s="1" t="s">
        <v>730</v>
      </c>
      <c r="W65" s="1" t="s">
        <v>731</v>
      </c>
    </row>
    <row r="66" spans="1:23" ht="15.75" customHeight="1" x14ac:dyDescent="0.35">
      <c r="A66" s="1" t="s">
        <v>732</v>
      </c>
      <c r="B66" s="1" t="s">
        <v>178</v>
      </c>
      <c r="C66" s="1" t="s">
        <v>733</v>
      </c>
      <c r="D66" s="1" t="s">
        <v>734</v>
      </c>
      <c r="E66" s="1" t="s">
        <v>735</v>
      </c>
      <c r="F66" s="1" t="s">
        <v>736</v>
      </c>
      <c r="G66" s="1" t="s">
        <v>24</v>
      </c>
      <c r="H66" s="7">
        <v>29504</v>
      </c>
      <c r="I66" s="1">
        <v>40</v>
      </c>
      <c r="J66" s="1" t="s">
        <v>14</v>
      </c>
      <c r="K66" s="1" t="s">
        <v>39</v>
      </c>
      <c r="L66" s="1" t="s">
        <v>207</v>
      </c>
      <c r="M66" s="1" t="s">
        <v>40</v>
      </c>
      <c r="N66" s="1" t="s">
        <v>737</v>
      </c>
      <c r="O66" s="7">
        <v>39114</v>
      </c>
      <c r="P66" s="1" t="s">
        <v>18</v>
      </c>
      <c r="Q66" s="1" t="s">
        <v>68</v>
      </c>
      <c r="R66" s="1" t="s">
        <v>58</v>
      </c>
      <c r="S66" s="1" t="s">
        <v>32</v>
      </c>
      <c r="T66" s="1" t="s">
        <v>35</v>
      </c>
      <c r="U66" s="1" t="s">
        <v>52</v>
      </c>
      <c r="V66" s="1" t="s">
        <v>738</v>
      </c>
      <c r="W66" s="1" t="s">
        <v>739</v>
      </c>
    </row>
    <row r="67" spans="1:23" ht="15.75" customHeight="1" x14ac:dyDescent="0.35">
      <c r="A67" s="1" t="s">
        <v>740</v>
      </c>
      <c r="B67" s="1" t="s">
        <v>178</v>
      </c>
      <c r="C67" s="1" t="s">
        <v>741</v>
      </c>
      <c r="D67" s="1" t="s">
        <v>377</v>
      </c>
      <c r="E67" s="1" t="s">
        <v>742</v>
      </c>
      <c r="F67" s="1" t="s">
        <v>743</v>
      </c>
      <c r="G67" s="1" t="s">
        <v>24</v>
      </c>
      <c r="H67" s="7">
        <v>23774</v>
      </c>
      <c r="I67" s="1">
        <v>56</v>
      </c>
      <c r="J67" s="1" t="s">
        <v>38</v>
      </c>
      <c r="K67" s="1" t="s">
        <v>27</v>
      </c>
      <c r="L67" s="1" t="s">
        <v>186</v>
      </c>
      <c r="M67" s="1" t="s">
        <v>28</v>
      </c>
      <c r="N67" s="1" t="s">
        <v>744</v>
      </c>
      <c r="O67" s="7">
        <v>39123</v>
      </c>
      <c r="P67" s="1" t="s">
        <v>18</v>
      </c>
      <c r="Q67" s="1" t="s">
        <v>68</v>
      </c>
      <c r="R67" s="1" t="s">
        <v>20</v>
      </c>
      <c r="S67" s="1" t="s">
        <v>20</v>
      </c>
      <c r="T67" s="1" t="s">
        <v>35</v>
      </c>
      <c r="U67" s="1" t="s">
        <v>64</v>
      </c>
      <c r="V67" s="1" t="s">
        <v>745</v>
      </c>
      <c r="W67" s="1" t="s">
        <v>746</v>
      </c>
    </row>
    <row r="68" spans="1:23" ht="15.75" customHeight="1" x14ac:dyDescent="0.35">
      <c r="A68" s="1" t="s">
        <v>747</v>
      </c>
      <c r="B68" s="1" t="s">
        <v>178</v>
      </c>
      <c r="C68" s="1" t="s">
        <v>748</v>
      </c>
      <c r="D68" s="1" t="s">
        <v>413</v>
      </c>
      <c r="E68" s="1" t="s">
        <v>604</v>
      </c>
      <c r="F68" s="1" t="s">
        <v>749</v>
      </c>
      <c r="G68" s="1" t="s">
        <v>24</v>
      </c>
      <c r="H68" s="7">
        <v>29831</v>
      </c>
      <c r="I68" s="1">
        <v>39</v>
      </c>
      <c r="J68" s="1" t="s">
        <v>14</v>
      </c>
      <c r="K68" s="1" t="s">
        <v>39</v>
      </c>
      <c r="L68" s="1" t="s">
        <v>279</v>
      </c>
      <c r="M68" s="1" t="s">
        <v>28</v>
      </c>
      <c r="N68" s="1" t="s">
        <v>750</v>
      </c>
      <c r="O68" s="7">
        <v>39123</v>
      </c>
      <c r="P68" s="1" t="s">
        <v>30</v>
      </c>
      <c r="Q68" s="1" t="s">
        <v>68</v>
      </c>
      <c r="R68" s="1" t="s">
        <v>54</v>
      </c>
      <c r="S68" s="1" t="s">
        <v>32</v>
      </c>
      <c r="T68" s="1" t="s">
        <v>35</v>
      </c>
      <c r="U68" s="1" t="s">
        <v>64</v>
      </c>
      <c r="V68" s="1" t="s">
        <v>751</v>
      </c>
      <c r="W68" s="1" t="s">
        <v>752</v>
      </c>
    </row>
    <row r="69" spans="1:23" ht="15.75" customHeight="1" x14ac:dyDescent="0.35">
      <c r="A69" s="1" t="s">
        <v>753</v>
      </c>
      <c r="B69" s="1" t="s">
        <v>178</v>
      </c>
      <c r="C69" s="1" t="s">
        <v>454</v>
      </c>
      <c r="D69" s="1" t="s">
        <v>754</v>
      </c>
      <c r="E69" s="1" t="s">
        <v>525</v>
      </c>
      <c r="F69" s="1" t="s">
        <v>278</v>
      </c>
      <c r="G69" s="1" t="s">
        <v>24</v>
      </c>
      <c r="H69" s="7">
        <v>27511</v>
      </c>
      <c r="I69" s="1">
        <v>46</v>
      </c>
      <c r="J69" s="1" t="s">
        <v>26</v>
      </c>
      <c r="K69" s="1" t="s">
        <v>39</v>
      </c>
      <c r="L69" s="1" t="s">
        <v>279</v>
      </c>
      <c r="M69" s="1" t="s">
        <v>28</v>
      </c>
      <c r="N69" s="1" t="s">
        <v>280</v>
      </c>
      <c r="O69" s="7">
        <v>39123</v>
      </c>
      <c r="P69" s="1" t="s">
        <v>18</v>
      </c>
      <c r="Q69" s="1" t="s">
        <v>68</v>
      </c>
      <c r="R69" s="1" t="s">
        <v>54</v>
      </c>
      <c r="S69" s="1" t="s">
        <v>32</v>
      </c>
      <c r="T69" s="1" t="s">
        <v>35</v>
      </c>
      <c r="U69" s="1" t="s">
        <v>64</v>
      </c>
      <c r="V69" s="1" t="s">
        <v>755</v>
      </c>
      <c r="W69" s="1" t="s">
        <v>756</v>
      </c>
    </row>
    <row r="70" spans="1:23" ht="15.75" customHeight="1" x14ac:dyDescent="0.35">
      <c r="A70" s="1" t="s">
        <v>757</v>
      </c>
      <c r="B70" s="1" t="s">
        <v>523</v>
      </c>
      <c r="C70" s="1" t="s">
        <v>758</v>
      </c>
      <c r="D70" s="1" t="s">
        <v>759</v>
      </c>
      <c r="E70" s="1" t="s">
        <v>760</v>
      </c>
      <c r="F70" s="1" t="s">
        <v>147</v>
      </c>
      <c r="G70" s="1" t="s">
        <v>13</v>
      </c>
      <c r="H70" s="7">
        <v>27494</v>
      </c>
      <c r="I70" s="1">
        <v>46</v>
      </c>
      <c r="J70" s="1" t="s">
        <v>26</v>
      </c>
      <c r="K70" s="1" t="s">
        <v>15</v>
      </c>
      <c r="L70" s="1" t="s">
        <v>193</v>
      </c>
      <c r="M70" s="1" t="s">
        <v>28</v>
      </c>
      <c r="N70" s="1" t="s">
        <v>761</v>
      </c>
      <c r="O70" s="7">
        <v>39152</v>
      </c>
      <c r="P70" s="1" t="s">
        <v>18</v>
      </c>
      <c r="Q70" s="1" t="s">
        <v>61</v>
      </c>
      <c r="R70" s="1" t="s">
        <v>50</v>
      </c>
      <c r="S70" s="1" t="s">
        <v>32</v>
      </c>
      <c r="T70" s="1" t="s">
        <v>35</v>
      </c>
      <c r="U70" s="1" t="s">
        <v>41</v>
      </c>
      <c r="V70" s="1" t="s">
        <v>762</v>
      </c>
      <c r="W70" s="1" t="s">
        <v>763</v>
      </c>
    </row>
    <row r="71" spans="1:23" ht="15.75" customHeight="1" x14ac:dyDescent="0.35">
      <c r="A71" s="1" t="s">
        <v>764</v>
      </c>
      <c r="B71" s="1" t="s">
        <v>178</v>
      </c>
      <c r="C71" s="1" t="s">
        <v>765</v>
      </c>
      <c r="D71" s="1" t="s">
        <v>766</v>
      </c>
      <c r="E71" s="1" t="s">
        <v>767</v>
      </c>
      <c r="F71" s="1" t="s">
        <v>768</v>
      </c>
      <c r="G71" s="1" t="s">
        <v>24</v>
      </c>
      <c r="H71" s="7">
        <v>30562</v>
      </c>
      <c r="I71" s="1">
        <v>37</v>
      </c>
      <c r="J71" s="1" t="s">
        <v>14</v>
      </c>
      <c r="K71" s="1" t="s">
        <v>39</v>
      </c>
      <c r="L71" s="1" t="s">
        <v>329</v>
      </c>
      <c r="M71" s="1" t="s">
        <v>40</v>
      </c>
      <c r="N71" s="1" t="s">
        <v>769</v>
      </c>
      <c r="O71" s="7">
        <v>39173</v>
      </c>
      <c r="P71" s="1" t="s">
        <v>18</v>
      </c>
      <c r="Q71" s="1" t="s">
        <v>31</v>
      </c>
      <c r="R71" s="1" t="s">
        <v>20</v>
      </c>
      <c r="S71" s="1" t="s">
        <v>20</v>
      </c>
      <c r="T71" s="1" t="s">
        <v>23</v>
      </c>
      <c r="U71" s="1" t="s">
        <v>17</v>
      </c>
      <c r="V71" s="1" t="s">
        <v>770</v>
      </c>
      <c r="W71" s="1" t="s">
        <v>771</v>
      </c>
    </row>
    <row r="72" spans="1:23" ht="15.75" customHeight="1" x14ac:dyDescent="0.35">
      <c r="A72" s="1" t="s">
        <v>772</v>
      </c>
      <c r="B72" s="1" t="s">
        <v>178</v>
      </c>
      <c r="C72" s="1" t="s">
        <v>773</v>
      </c>
      <c r="D72" s="1" t="s">
        <v>774</v>
      </c>
      <c r="E72" s="1" t="s">
        <v>775</v>
      </c>
      <c r="F72" s="1" t="s">
        <v>190</v>
      </c>
      <c r="G72" s="1" t="s">
        <v>24</v>
      </c>
      <c r="H72" s="7">
        <v>29723</v>
      </c>
      <c r="I72" s="1">
        <v>40</v>
      </c>
      <c r="J72" s="1" t="s">
        <v>14</v>
      </c>
      <c r="K72" s="1" t="s">
        <v>27</v>
      </c>
      <c r="L72" s="1" t="s">
        <v>186</v>
      </c>
      <c r="M72" s="1" t="s">
        <v>28</v>
      </c>
      <c r="N72" s="1" t="s">
        <v>191</v>
      </c>
      <c r="O72" s="7">
        <v>39173</v>
      </c>
      <c r="P72" s="1" t="s">
        <v>18</v>
      </c>
      <c r="Q72" s="1" t="s">
        <v>68</v>
      </c>
      <c r="R72" s="1" t="s">
        <v>58</v>
      </c>
      <c r="S72" s="1" t="s">
        <v>32</v>
      </c>
      <c r="T72" s="1" t="s">
        <v>35</v>
      </c>
      <c r="U72" s="1" t="s">
        <v>46</v>
      </c>
      <c r="V72" s="1" t="s">
        <v>776</v>
      </c>
      <c r="W72" s="1" t="s">
        <v>777</v>
      </c>
    </row>
    <row r="73" spans="1:23" ht="15.75" customHeight="1" x14ac:dyDescent="0.35">
      <c r="A73" s="1" t="s">
        <v>778</v>
      </c>
      <c r="B73" s="1" t="s">
        <v>182</v>
      </c>
      <c r="C73" s="1" t="s">
        <v>779</v>
      </c>
      <c r="D73" s="1" t="s">
        <v>780</v>
      </c>
      <c r="E73" s="1" t="s">
        <v>781</v>
      </c>
      <c r="F73" s="1" t="s">
        <v>243</v>
      </c>
      <c r="G73" s="1" t="s">
        <v>13</v>
      </c>
      <c r="H73" s="7">
        <v>29312</v>
      </c>
      <c r="I73" s="1">
        <v>41</v>
      </c>
      <c r="J73" s="1" t="s">
        <v>26</v>
      </c>
      <c r="K73" s="1" t="s">
        <v>27</v>
      </c>
      <c r="L73" s="1" t="s">
        <v>186</v>
      </c>
      <c r="M73" s="1" t="s">
        <v>28</v>
      </c>
      <c r="N73" s="1" t="s">
        <v>244</v>
      </c>
      <c r="O73" s="7">
        <v>39173</v>
      </c>
      <c r="P73" s="1" t="s">
        <v>18</v>
      </c>
      <c r="Q73" s="1" t="s">
        <v>68</v>
      </c>
      <c r="R73" s="1" t="s">
        <v>34</v>
      </c>
      <c r="S73" s="1" t="s">
        <v>32</v>
      </c>
      <c r="T73" s="1" t="s">
        <v>35</v>
      </c>
      <c r="U73" s="1" t="s">
        <v>46</v>
      </c>
      <c r="V73" s="1" t="s">
        <v>782</v>
      </c>
      <c r="W73" s="1" t="s">
        <v>783</v>
      </c>
    </row>
    <row r="74" spans="1:23" ht="15.75" customHeight="1" x14ac:dyDescent="0.35">
      <c r="A74" s="1" t="s">
        <v>784</v>
      </c>
      <c r="B74" s="1" t="s">
        <v>178</v>
      </c>
      <c r="C74" s="1" t="s">
        <v>785</v>
      </c>
      <c r="D74" s="1" t="s">
        <v>786</v>
      </c>
      <c r="E74" s="1" t="s">
        <v>462</v>
      </c>
      <c r="F74" s="1" t="s">
        <v>787</v>
      </c>
      <c r="G74" s="1" t="s">
        <v>24</v>
      </c>
      <c r="H74" s="7">
        <v>29817</v>
      </c>
      <c r="I74" s="1">
        <v>39</v>
      </c>
      <c r="J74" s="1" t="s">
        <v>14</v>
      </c>
      <c r="K74" s="1" t="s">
        <v>39</v>
      </c>
      <c r="L74" s="1" t="s">
        <v>279</v>
      </c>
      <c r="M74" s="1" t="s">
        <v>28</v>
      </c>
      <c r="N74" s="1" t="s">
        <v>788</v>
      </c>
      <c r="O74" s="7">
        <v>39173</v>
      </c>
      <c r="P74" s="1" t="s">
        <v>18</v>
      </c>
      <c r="Q74" s="1" t="s">
        <v>68</v>
      </c>
      <c r="R74" s="1" t="s">
        <v>54</v>
      </c>
      <c r="S74" s="1" t="s">
        <v>32</v>
      </c>
      <c r="T74" s="1" t="s">
        <v>35</v>
      </c>
      <c r="U74" s="1" t="s">
        <v>64</v>
      </c>
      <c r="V74" s="1" t="s">
        <v>789</v>
      </c>
      <c r="W74" s="1" t="s">
        <v>790</v>
      </c>
    </row>
    <row r="75" spans="1:23" ht="15.75" customHeight="1" x14ac:dyDescent="0.35">
      <c r="A75" s="1" t="s">
        <v>791</v>
      </c>
      <c r="B75" s="1" t="s">
        <v>182</v>
      </c>
      <c r="C75" s="1" t="s">
        <v>792</v>
      </c>
      <c r="D75" s="1" t="s">
        <v>793</v>
      </c>
      <c r="E75" s="1" t="s">
        <v>794</v>
      </c>
      <c r="F75" s="1" t="s">
        <v>795</v>
      </c>
      <c r="G75" s="1" t="s">
        <v>13</v>
      </c>
      <c r="H75" s="7">
        <v>30790</v>
      </c>
      <c r="I75" s="1">
        <v>37</v>
      </c>
      <c r="J75" s="1" t="s">
        <v>14</v>
      </c>
      <c r="K75" s="1" t="s">
        <v>15</v>
      </c>
      <c r="L75" s="1" t="s">
        <v>796</v>
      </c>
      <c r="M75" s="1" t="s">
        <v>40</v>
      </c>
      <c r="N75" s="1" t="s">
        <v>797</v>
      </c>
      <c r="O75" s="7">
        <v>39173</v>
      </c>
      <c r="P75" s="1" t="s">
        <v>18</v>
      </c>
      <c r="Q75" s="1" t="s">
        <v>68</v>
      </c>
      <c r="R75" s="1" t="s">
        <v>20</v>
      </c>
      <c r="S75" s="1" t="s">
        <v>20</v>
      </c>
      <c r="T75" s="1" t="s">
        <v>35</v>
      </c>
      <c r="U75" s="1" t="s">
        <v>67</v>
      </c>
      <c r="V75" s="1" t="s">
        <v>798</v>
      </c>
      <c r="W75" s="1" t="s">
        <v>799</v>
      </c>
    </row>
    <row r="76" spans="1:23" ht="15.75" customHeight="1" x14ac:dyDescent="0.35">
      <c r="A76" s="1" t="s">
        <v>800</v>
      </c>
      <c r="B76" s="1" t="s">
        <v>178</v>
      </c>
      <c r="C76" s="1" t="s">
        <v>589</v>
      </c>
      <c r="D76" s="1" t="s">
        <v>801</v>
      </c>
      <c r="E76" s="1" t="s">
        <v>802</v>
      </c>
      <c r="F76" s="1" t="s">
        <v>803</v>
      </c>
      <c r="G76" s="1" t="s">
        <v>24</v>
      </c>
      <c r="H76" s="7">
        <v>31244</v>
      </c>
      <c r="I76" s="1">
        <v>36</v>
      </c>
      <c r="J76" s="1" t="s">
        <v>14</v>
      </c>
      <c r="K76" s="1" t="s">
        <v>39</v>
      </c>
      <c r="L76" s="1" t="s">
        <v>329</v>
      </c>
      <c r="M76" s="1" t="s">
        <v>40</v>
      </c>
      <c r="N76" s="1" t="s">
        <v>804</v>
      </c>
      <c r="O76" s="7">
        <v>39222</v>
      </c>
      <c r="P76" s="1" t="s">
        <v>18</v>
      </c>
      <c r="Q76" s="1" t="s">
        <v>68</v>
      </c>
      <c r="R76" s="1" t="s">
        <v>54</v>
      </c>
      <c r="S76" s="1" t="s">
        <v>32</v>
      </c>
      <c r="T76" s="1" t="s">
        <v>23</v>
      </c>
      <c r="U76" s="1" t="s">
        <v>17</v>
      </c>
      <c r="V76" s="1" t="s">
        <v>805</v>
      </c>
      <c r="W76" s="1" t="s">
        <v>806</v>
      </c>
    </row>
    <row r="77" spans="1:23" ht="15.75" customHeight="1" x14ac:dyDescent="0.35">
      <c r="A77" s="1" t="s">
        <v>807</v>
      </c>
      <c r="B77" s="1" t="s">
        <v>182</v>
      </c>
      <c r="C77" s="1" t="s">
        <v>808</v>
      </c>
      <c r="D77" s="1" t="s">
        <v>809</v>
      </c>
      <c r="E77" s="1" t="s">
        <v>810</v>
      </c>
      <c r="F77" s="1" t="s">
        <v>255</v>
      </c>
      <c r="G77" s="1" t="s">
        <v>13</v>
      </c>
      <c r="H77" s="7">
        <v>27910</v>
      </c>
      <c r="I77" s="1">
        <v>45</v>
      </c>
      <c r="J77" s="1" t="s">
        <v>26</v>
      </c>
      <c r="K77" s="1" t="s">
        <v>27</v>
      </c>
      <c r="L77" s="1" t="s">
        <v>186</v>
      </c>
      <c r="M77" s="1" t="s">
        <v>40</v>
      </c>
      <c r="N77" s="1" t="s">
        <v>256</v>
      </c>
      <c r="O77" s="7">
        <v>39223</v>
      </c>
      <c r="P77" s="1" t="s">
        <v>18</v>
      </c>
      <c r="Q77" s="1" t="s">
        <v>61</v>
      </c>
      <c r="R77" s="1" t="s">
        <v>58</v>
      </c>
      <c r="S77" s="1" t="s">
        <v>32</v>
      </c>
      <c r="T77" s="1" t="s">
        <v>44</v>
      </c>
      <c r="U77" s="1" t="s">
        <v>46</v>
      </c>
      <c r="V77" s="1" t="s">
        <v>811</v>
      </c>
      <c r="W77" s="1" t="s">
        <v>812</v>
      </c>
    </row>
    <row r="78" spans="1:23" ht="15.75" customHeight="1" x14ac:dyDescent="0.35">
      <c r="A78" s="1" t="s">
        <v>813</v>
      </c>
      <c r="B78" s="1" t="s">
        <v>178</v>
      </c>
      <c r="C78" s="1" t="s">
        <v>814</v>
      </c>
      <c r="D78" s="1" t="s">
        <v>635</v>
      </c>
      <c r="E78" s="1" t="s">
        <v>414</v>
      </c>
      <c r="F78" s="1" t="s">
        <v>815</v>
      </c>
      <c r="G78" s="1" t="s">
        <v>24</v>
      </c>
      <c r="H78" s="7">
        <v>31435</v>
      </c>
      <c r="I78" s="1">
        <v>35</v>
      </c>
      <c r="J78" s="1" t="s">
        <v>14</v>
      </c>
      <c r="K78" s="1" t="s">
        <v>39</v>
      </c>
      <c r="L78" s="1" t="s">
        <v>196</v>
      </c>
      <c r="M78" s="1" t="s">
        <v>40</v>
      </c>
      <c r="N78" s="1" t="s">
        <v>816</v>
      </c>
      <c r="O78" s="7">
        <v>39233</v>
      </c>
      <c r="P78" s="1" t="s">
        <v>18</v>
      </c>
      <c r="Q78" s="1" t="s">
        <v>65</v>
      </c>
      <c r="R78" s="1" t="s">
        <v>50</v>
      </c>
      <c r="S78" s="1" t="s">
        <v>32</v>
      </c>
      <c r="T78" s="1" t="s">
        <v>23</v>
      </c>
      <c r="U78" s="1" t="s">
        <v>17</v>
      </c>
      <c r="V78" s="1" t="s">
        <v>817</v>
      </c>
      <c r="W78" s="1" t="s">
        <v>818</v>
      </c>
    </row>
    <row r="79" spans="1:23" ht="15.75" customHeight="1" x14ac:dyDescent="0.35">
      <c r="A79" s="1" t="s">
        <v>819</v>
      </c>
      <c r="B79" s="1" t="s">
        <v>178</v>
      </c>
      <c r="C79" s="1" t="s">
        <v>820</v>
      </c>
      <c r="D79" s="1" t="s">
        <v>821</v>
      </c>
      <c r="E79" s="1" t="s">
        <v>822</v>
      </c>
      <c r="F79" s="1" t="s">
        <v>132</v>
      </c>
      <c r="G79" s="1" t="s">
        <v>24</v>
      </c>
      <c r="H79" s="7">
        <v>26221</v>
      </c>
      <c r="I79" s="1">
        <v>49</v>
      </c>
      <c r="J79" s="1" t="s">
        <v>26</v>
      </c>
      <c r="K79" s="1" t="s">
        <v>39</v>
      </c>
      <c r="L79" s="1" t="s">
        <v>207</v>
      </c>
      <c r="M79" s="1" t="s">
        <v>28</v>
      </c>
      <c r="N79" s="1" t="s">
        <v>823</v>
      </c>
      <c r="O79" s="7">
        <v>39234</v>
      </c>
      <c r="P79" s="1" t="s">
        <v>18</v>
      </c>
      <c r="Q79" s="1" t="s">
        <v>65</v>
      </c>
      <c r="R79" s="1" t="s">
        <v>22</v>
      </c>
      <c r="S79" s="1" t="s">
        <v>32</v>
      </c>
      <c r="T79" s="1" t="s">
        <v>23</v>
      </c>
      <c r="U79" s="1" t="s">
        <v>17</v>
      </c>
      <c r="V79" s="1" t="s">
        <v>824</v>
      </c>
      <c r="W79" s="1" t="s">
        <v>825</v>
      </c>
    </row>
    <row r="80" spans="1:23" ht="15.75" customHeight="1" x14ac:dyDescent="0.35">
      <c r="A80" s="1" t="s">
        <v>826</v>
      </c>
      <c r="B80" s="1" t="s">
        <v>210</v>
      </c>
      <c r="C80" s="1" t="s">
        <v>827</v>
      </c>
      <c r="D80" s="1" t="s">
        <v>432</v>
      </c>
      <c r="E80" s="1" t="s">
        <v>414</v>
      </c>
      <c r="F80" s="1" t="s">
        <v>209</v>
      </c>
      <c r="G80" s="1" t="s">
        <v>24</v>
      </c>
      <c r="H80" s="7">
        <v>27747</v>
      </c>
      <c r="I80" s="1">
        <v>45</v>
      </c>
      <c r="J80" s="1" t="s">
        <v>26</v>
      </c>
      <c r="K80" s="1" t="s">
        <v>39</v>
      </c>
      <c r="L80" s="1" t="s">
        <v>179</v>
      </c>
      <c r="M80" s="1" t="s">
        <v>28</v>
      </c>
      <c r="N80" s="1" t="s">
        <v>211</v>
      </c>
      <c r="O80" s="7">
        <v>39236</v>
      </c>
      <c r="P80" s="1" t="s">
        <v>30</v>
      </c>
      <c r="Q80" s="1" t="s">
        <v>68</v>
      </c>
      <c r="R80" s="1" t="s">
        <v>50</v>
      </c>
      <c r="S80" s="1" t="s">
        <v>32</v>
      </c>
      <c r="T80" s="1" t="s">
        <v>23</v>
      </c>
      <c r="U80" s="1" t="s">
        <v>17</v>
      </c>
      <c r="V80" s="1" t="s">
        <v>828</v>
      </c>
      <c r="W80" s="1" t="s">
        <v>829</v>
      </c>
    </row>
    <row r="81" spans="1:23" ht="15.75" customHeight="1" x14ac:dyDescent="0.35">
      <c r="A81" s="1" t="s">
        <v>830</v>
      </c>
      <c r="B81" s="1" t="s">
        <v>831</v>
      </c>
      <c r="C81" s="1" t="s">
        <v>335</v>
      </c>
      <c r="D81" s="1" t="s">
        <v>455</v>
      </c>
      <c r="E81" s="1" t="s">
        <v>832</v>
      </c>
      <c r="F81" s="1" t="s">
        <v>155</v>
      </c>
      <c r="G81" s="1" t="s">
        <v>24</v>
      </c>
      <c r="H81" s="7">
        <v>28807</v>
      </c>
      <c r="I81" s="1">
        <v>42</v>
      </c>
      <c r="J81" s="1" t="s">
        <v>26</v>
      </c>
      <c r="K81" s="1" t="s">
        <v>39</v>
      </c>
      <c r="L81" s="1" t="s">
        <v>179</v>
      </c>
      <c r="M81" s="1" t="s">
        <v>28</v>
      </c>
      <c r="N81" s="1" t="s">
        <v>833</v>
      </c>
      <c r="O81" s="7">
        <v>39250</v>
      </c>
      <c r="P81" s="1" t="s">
        <v>18</v>
      </c>
      <c r="Q81" s="1" t="s">
        <v>65</v>
      </c>
      <c r="R81" s="1" t="s">
        <v>22</v>
      </c>
      <c r="S81" s="1" t="s">
        <v>32</v>
      </c>
      <c r="T81" s="1" t="s">
        <v>23</v>
      </c>
      <c r="U81" s="1" t="s">
        <v>17</v>
      </c>
      <c r="V81" s="1" t="s">
        <v>834</v>
      </c>
      <c r="W81" s="1" t="s">
        <v>835</v>
      </c>
    </row>
    <row r="82" spans="1:23" ht="15.75" customHeight="1" x14ac:dyDescent="0.35">
      <c r="A82" s="1" t="s">
        <v>836</v>
      </c>
      <c r="B82" s="1" t="s">
        <v>182</v>
      </c>
      <c r="C82" s="1" t="s">
        <v>837</v>
      </c>
      <c r="D82" s="1" t="s">
        <v>838</v>
      </c>
      <c r="E82" s="1" t="s">
        <v>839</v>
      </c>
      <c r="F82" s="1" t="s">
        <v>241</v>
      </c>
      <c r="G82" s="1" t="s">
        <v>13</v>
      </c>
      <c r="H82" s="7">
        <v>28429</v>
      </c>
      <c r="I82" s="1">
        <v>43</v>
      </c>
      <c r="J82" s="1" t="s">
        <v>26</v>
      </c>
      <c r="K82" s="1" t="s">
        <v>27</v>
      </c>
      <c r="L82" s="1" t="s">
        <v>186</v>
      </c>
      <c r="M82" s="1" t="s">
        <v>28</v>
      </c>
      <c r="N82" s="1" t="s">
        <v>242</v>
      </c>
      <c r="O82" s="7">
        <v>39295</v>
      </c>
      <c r="P82" s="1" t="s">
        <v>18</v>
      </c>
      <c r="Q82" s="1" t="s">
        <v>61</v>
      </c>
      <c r="R82" s="1" t="s">
        <v>20</v>
      </c>
      <c r="S82" s="1" t="s">
        <v>20</v>
      </c>
      <c r="T82" s="1" t="s">
        <v>44</v>
      </c>
      <c r="U82" s="1" t="s">
        <v>46</v>
      </c>
      <c r="V82" s="1" t="s">
        <v>840</v>
      </c>
      <c r="W82" s="1" t="s">
        <v>841</v>
      </c>
    </row>
    <row r="83" spans="1:23" ht="15.75" customHeight="1" x14ac:dyDescent="0.35">
      <c r="A83" s="1" t="s">
        <v>842</v>
      </c>
      <c r="B83" s="1" t="s">
        <v>178</v>
      </c>
      <c r="C83" s="1" t="s">
        <v>843</v>
      </c>
      <c r="D83" s="1" t="s">
        <v>844</v>
      </c>
      <c r="E83" s="1" t="s">
        <v>845</v>
      </c>
      <c r="F83" s="1" t="s">
        <v>142</v>
      </c>
      <c r="G83" s="1" t="s">
        <v>24</v>
      </c>
      <c r="H83" s="7">
        <v>28056</v>
      </c>
      <c r="I83" s="1">
        <v>44</v>
      </c>
      <c r="J83" s="1" t="s">
        <v>26</v>
      </c>
      <c r="K83" s="1" t="s">
        <v>15</v>
      </c>
      <c r="L83" s="1" t="s">
        <v>183</v>
      </c>
      <c r="M83" s="1" t="s">
        <v>40</v>
      </c>
      <c r="N83" s="1" t="s">
        <v>846</v>
      </c>
      <c r="O83" s="7">
        <v>39316</v>
      </c>
      <c r="P83" s="1" t="s">
        <v>18</v>
      </c>
      <c r="Q83" s="1" t="s">
        <v>65</v>
      </c>
      <c r="R83" s="1" t="s">
        <v>22</v>
      </c>
      <c r="S83" s="1" t="s">
        <v>32</v>
      </c>
      <c r="T83" s="1" t="s">
        <v>23</v>
      </c>
      <c r="U83" s="1" t="s">
        <v>17</v>
      </c>
      <c r="V83" s="1" t="s">
        <v>847</v>
      </c>
      <c r="W83" s="1" t="s">
        <v>848</v>
      </c>
    </row>
    <row r="84" spans="1:23" ht="15.75" customHeight="1" x14ac:dyDescent="0.35">
      <c r="A84" s="1" t="s">
        <v>849</v>
      </c>
      <c r="B84" s="1" t="s">
        <v>178</v>
      </c>
      <c r="C84" s="1" t="s">
        <v>446</v>
      </c>
      <c r="D84" s="1" t="s">
        <v>326</v>
      </c>
      <c r="E84" s="1" t="s">
        <v>348</v>
      </c>
      <c r="F84" s="1" t="s">
        <v>173</v>
      </c>
      <c r="G84" s="1" t="s">
        <v>24</v>
      </c>
      <c r="H84" s="7">
        <v>26698</v>
      </c>
      <c r="I84" s="1">
        <v>48</v>
      </c>
      <c r="J84" s="1" t="s">
        <v>26</v>
      </c>
      <c r="K84" s="1" t="s">
        <v>39</v>
      </c>
      <c r="L84" s="1" t="s">
        <v>329</v>
      </c>
      <c r="M84" s="1" t="s">
        <v>28</v>
      </c>
      <c r="N84" s="1" t="s">
        <v>850</v>
      </c>
      <c r="O84" s="7">
        <v>39370</v>
      </c>
      <c r="P84" s="1" t="s">
        <v>18</v>
      </c>
      <c r="Q84" s="1" t="s">
        <v>31</v>
      </c>
      <c r="R84" s="1" t="s">
        <v>50</v>
      </c>
      <c r="S84" s="1" t="s">
        <v>32</v>
      </c>
      <c r="T84" s="1" t="s">
        <v>23</v>
      </c>
      <c r="U84" s="1" t="s">
        <v>17</v>
      </c>
      <c r="V84" s="1" t="s">
        <v>851</v>
      </c>
      <c r="W84" s="1" t="s">
        <v>852</v>
      </c>
    </row>
    <row r="85" spans="1:23" ht="15.75" customHeight="1" x14ac:dyDescent="0.35">
      <c r="A85" s="1" t="s">
        <v>853</v>
      </c>
      <c r="B85" s="1" t="s">
        <v>178</v>
      </c>
      <c r="C85" s="1" t="s">
        <v>854</v>
      </c>
      <c r="D85" s="1" t="s">
        <v>827</v>
      </c>
      <c r="E85" s="1" t="s">
        <v>855</v>
      </c>
      <c r="F85" s="1" t="s">
        <v>856</v>
      </c>
      <c r="G85" s="1" t="s">
        <v>24</v>
      </c>
      <c r="H85" s="7">
        <v>27773</v>
      </c>
      <c r="I85" s="1">
        <v>45</v>
      </c>
      <c r="J85" s="1" t="s">
        <v>26</v>
      </c>
      <c r="K85" s="1" t="s">
        <v>39</v>
      </c>
      <c r="L85" s="1" t="s">
        <v>637</v>
      </c>
      <c r="M85" s="1" t="s">
        <v>28</v>
      </c>
      <c r="N85" s="1" t="s">
        <v>857</v>
      </c>
      <c r="O85" s="7">
        <v>39390</v>
      </c>
      <c r="P85" s="1" t="s">
        <v>18</v>
      </c>
      <c r="Q85" s="1" t="s">
        <v>68</v>
      </c>
      <c r="R85" s="1" t="s">
        <v>58</v>
      </c>
      <c r="S85" s="1" t="s">
        <v>32</v>
      </c>
      <c r="T85" s="1" t="s">
        <v>35</v>
      </c>
      <c r="U85" s="1" t="s">
        <v>41</v>
      </c>
      <c r="V85" s="1" t="s">
        <v>858</v>
      </c>
      <c r="W85" s="1" t="s">
        <v>859</v>
      </c>
    </row>
    <row r="86" spans="1:23" ht="15.75" customHeight="1" x14ac:dyDescent="0.35">
      <c r="A86" s="1" t="s">
        <v>860</v>
      </c>
      <c r="B86" s="1" t="s">
        <v>178</v>
      </c>
      <c r="C86" s="1" t="s">
        <v>814</v>
      </c>
      <c r="D86" s="1" t="s">
        <v>861</v>
      </c>
      <c r="E86" s="1" t="s">
        <v>862</v>
      </c>
      <c r="F86" s="1" t="s">
        <v>863</v>
      </c>
      <c r="G86" s="1" t="s">
        <v>24</v>
      </c>
      <c r="H86" s="7">
        <v>30633</v>
      </c>
      <c r="I86" s="1">
        <v>37</v>
      </c>
      <c r="J86" s="1" t="s">
        <v>14</v>
      </c>
      <c r="K86" s="1" t="s">
        <v>39</v>
      </c>
      <c r="L86" s="1" t="s">
        <v>268</v>
      </c>
      <c r="M86" s="1" t="s">
        <v>40</v>
      </c>
      <c r="N86" s="1" t="s">
        <v>864</v>
      </c>
      <c r="O86" s="7">
        <v>39417</v>
      </c>
      <c r="P86" s="1" t="s">
        <v>18</v>
      </c>
      <c r="Q86" s="1" t="s">
        <v>68</v>
      </c>
      <c r="R86" s="1" t="s">
        <v>22</v>
      </c>
      <c r="S86" s="1" t="s">
        <v>32</v>
      </c>
      <c r="T86" s="1" t="s">
        <v>23</v>
      </c>
      <c r="U86" s="1" t="s">
        <v>70</v>
      </c>
      <c r="V86" s="1" t="s">
        <v>865</v>
      </c>
      <c r="W86" s="1" t="s">
        <v>866</v>
      </c>
    </row>
    <row r="87" spans="1:23" ht="15.75" customHeight="1" x14ac:dyDescent="0.35">
      <c r="A87" s="1" t="s">
        <v>867</v>
      </c>
      <c r="B87" s="1" t="s">
        <v>178</v>
      </c>
      <c r="C87" s="1" t="s">
        <v>868</v>
      </c>
      <c r="D87" s="1" t="s">
        <v>869</v>
      </c>
      <c r="E87" s="1" t="s">
        <v>870</v>
      </c>
      <c r="F87" s="1" t="s">
        <v>267</v>
      </c>
      <c r="G87" s="1" t="s">
        <v>24</v>
      </c>
      <c r="H87" s="7">
        <v>30560</v>
      </c>
      <c r="I87" s="1">
        <v>37</v>
      </c>
      <c r="J87" s="1" t="s">
        <v>14</v>
      </c>
      <c r="K87" s="1" t="s">
        <v>39</v>
      </c>
      <c r="L87" s="1" t="s">
        <v>268</v>
      </c>
      <c r="M87" s="1" t="s">
        <v>40</v>
      </c>
      <c r="N87" s="1" t="s">
        <v>269</v>
      </c>
      <c r="O87" s="7">
        <v>39417</v>
      </c>
      <c r="P87" s="1" t="s">
        <v>18</v>
      </c>
      <c r="Q87" s="1" t="s">
        <v>68</v>
      </c>
      <c r="R87" s="1" t="s">
        <v>54</v>
      </c>
      <c r="S87" s="1" t="s">
        <v>32</v>
      </c>
      <c r="T87" s="1" t="s">
        <v>23</v>
      </c>
      <c r="U87" s="1" t="s">
        <v>70</v>
      </c>
      <c r="V87" s="1" t="s">
        <v>871</v>
      </c>
      <c r="W87" s="1" t="s">
        <v>872</v>
      </c>
    </row>
    <row r="88" spans="1:23" ht="15.75" customHeight="1" x14ac:dyDescent="0.35">
      <c r="A88" s="1" t="s">
        <v>873</v>
      </c>
      <c r="B88" s="1" t="s">
        <v>178</v>
      </c>
      <c r="C88" s="1" t="s">
        <v>874</v>
      </c>
      <c r="D88" s="1" t="s">
        <v>875</v>
      </c>
      <c r="E88" s="1" t="s">
        <v>876</v>
      </c>
      <c r="F88" s="1" t="s">
        <v>877</v>
      </c>
      <c r="G88" s="1" t="s">
        <v>24</v>
      </c>
      <c r="H88" s="7">
        <v>30002</v>
      </c>
      <c r="I88" s="1">
        <v>39</v>
      </c>
      <c r="J88" s="1" t="s">
        <v>14</v>
      </c>
      <c r="K88" s="1" t="s">
        <v>39</v>
      </c>
      <c r="L88" s="1" t="s">
        <v>268</v>
      </c>
      <c r="M88" s="1" t="s">
        <v>28</v>
      </c>
      <c r="N88" s="1" t="s">
        <v>878</v>
      </c>
      <c r="O88" s="7">
        <v>39421</v>
      </c>
      <c r="P88" s="1" t="s">
        <v>18</v>
      </c>
      <c r="Q88" s="1" t="s">
        <v>68</v>
      </c>
      <c r="R88" s="1" t="s">
        <v>50</v>
      </c>
      <c r="S88" s="1" t="s">
        <v>32</v>
      </c>
      <c r="T88" s="1" t="s">
        <v>23</v>
      </c>
      <c r="U88" s="1" t="s">
        <v>70</v>
      </c>
      <c r="V88" s="1" t="s">
        <v>879</v>
      </c>
      <c r="W88" s="1" t="s">
        <v>880</v>
      </c>
    </row>
    <row r="89" spans="1:23" ht="15.75" customHeight="1" x14ac:dyDescent="0.35">
      <c r="A89" s="1" t="s">
        <v>881</v>
      </c>
      <c r="B89" s="1" t="s">
        <v>178</v>
      </c>
      <c r="C89" s="1" t="s">
        <v>882</v>
      </c>
      <c r="D89" s="1" t="s">
        <v>883</v>
      </c>
      <c r="E89" s="1" t="s">
        <v>318</v>
      </c>
      <c r="F89" s="1" t="s">
        <v>884</v>
      </c>
      <c r="G89" s="1" t="s">
        <v>24</v>
      </c>
      <c r="H89" s="7">
        <v>29654</v>
      </c>
      <c r="I89" s="1">
        <v>40</v>
      </c>
      <c r="J89" s="1" t="s">
        <v>14</v>
      </c>
      <c r="K89" s="1" t="s">
        <v>39</v>
      </c>
      <c r="L89" s="1" t="s">
        <v>207</v>
      </c>
      <c r="M89" s="1" t="s">
        <v>40</v>
      </c>
      <c r="N89" s="1" t="s">
        <v>885</v>
      </c>
      <c r="O89" s="7">
        <v>39448</v>
      </c>
      <c r="P89" s="1" t="s">
        <v>18</v>
      </c>
      <c r="Q89" s="1" t="s">
        <v>68</v>
      </c>
      <c r="R89" s="1" t="s">
        <v>54</v>
      </c>
      <c r="S89" s="1" t="s">
        <v>32</v>
      </c>
      <c r="T89" s="1" t="s">
        <v>23</v>
      </c>
      <c r="U89" s="1" t="s">
        <v>17</v>
      </c>
      <c r="V89" s="1" t="s">
        <v>886</v>
      </c>
      <c r="W89" s="1" t="s">
        <v>887</v>
      </c>
    </row>
    <row r="90" spans="1:23" ht="15.75" customHeight="1" x14ac:dyDescent="0.35">
      <c r="A90" s="1" t="s">
        <v>888</v>
      </c>
      <c r="B90" s="1" t="s">
        <v>178</v>
      </c>
      <c r="C90" s="1" t="s">
        <v>889</v>
      </c>
      <c r="D90" s="1" t="s">
        <v>628</v>
      </c>
      <c r="E90" s="1" t="s">
        <v>890</v>
      </c>
      <c r="F90" s="1" t="s">
        <v>136</v>
      </c>
      <c r="G90" s="1" t="s">
        <v>24</v>
      </c>
      <c r="H90" s="7">
        <v>28777</v>
      </c>
      <c r="I90" s="1">
        <v>42</v>
      </c>
      <c r="J90" s="1" t="s">
        <v>26</v>
      </c>
      <c r="K90" s="1" t="s">
        <v>39</v>
      </c>
      <c r="L90" s="1" t="s">
        <v>179</v>
      </c>
      <c r="M90" s="1" t="s">
        <v>28</v>
      </c>
      <c r="N90" s="1" t="s">
        <v>891</v>
      </c>
      <c r="O90" s="7">
        <v>39466</v>
      </c>
      <c r="P90" s="1" t="s">
        <v>18</v>
      </c>
      <c r="Q90" s="1" t="s">
        <v>68</v>
      </c>
      <c r="R90" s="1" t="s">
        <v>54</v>
      </c>
      <c r="S90" s="1" t="s">
        <v>32</v>
      </c>
      <c r="T90" s="1" t="s">
        <v>23</v>
      </c>
      <c r="U90" s="1" t="s">
        <v>17</v>
      </c>
      <c r="V90" s="1" t="s">
        <v>892</v>
      </c>
      <c r="W90" s="1" t="s">
        <v>893</v>
      </c>
    </row>
    <row r="91" spans="1:23" ht="15.75" customHeight="1" x14ac:dyDescent="0.35">
      <c r="A91" s="1" t="s">
        <v>894</v>
      </c>
      <c r="B91" s="1" t="s">
        <v>178</v>
      </c>
      <c r="C91" s="1" t="s">
        <v>895</v>
      </c>
      <c r="D91" s="1" t="s">
        <v>896</v>
      </c>
      <c r="E91" s="1" t="s">
        <v>897</v>
      </c>
      <c r="F91" s="1" t="s">
        <v>137</v>
      </c>
      <c r="G91" s="1" t="s">
        <v>24</v>
      </c>
      <c r="H91" s="7">
        <v>26703</v>
      </c>
      <c r="I91" s="1">
        <v>48</v>
      </c>
      <c r="J91" s="1" t="s">
        <v>26</v>
      </c>
      <c r="K91" s="1" t="s">
        <v>39</v>
      </c>
      <c r="L91" s="1" t="s">
        <v>268</v>
      </c>
      <c r="M91" s="1" t="s">
        <v>28</v>
      </c>
      <c r="N91" s="1" t="s">
        <v>898</v>
      </c>
      <c r="O91" s="7">
        <v>39466</v>
      </c>
      <c r="P91" s="1" t="s">
        <v>18</v>
      </c>
      <c r="Q91" s="1" t="s">
        <v>68</v>
      </c>
      <c r="R91" s="1" t="s">
        <v>22</v>
      </c>
      <c r="S91" s="1" t="s">
        <v>32</v>
      </c>
      <c r="T91" s="1" t="s">
        <v>23</v>
      </c>
      <c r="U91" s="1" t="s">
        <v>70</v>
      </c>
      <c r="V91" s="1" t="s">
        <v>899</v>
      </c>
      <c r="W91" s="1" t="s">
        <v>900</v>
      </c>
    </row>
    <row r="92" spans="1:23" ht="15.75" customHeight="1" x14ac:dyDescent="0.35">
      <c r="A92" s="1" t="s">
        <v>901</v>
      </c>
      <c r="B92" s="1" t="s">
        <v>178</v>
      </c>
      <c r="C92" s="1" t="s">
        <v>902</v>
      </c>
      <c r="D92" s="1" t="s">
        <v>432</v>
      </c>
      <c r="E92" s="1" t="s">
        <v>903</v>
      </c>
      <c r="F92" s="1" t="s">
        <v>138</v>
      </c>
      <c r="G92" s="1" t="s">
        <v>24</v>
      </c>
      <c r="H92" s="7">
        <v>29134</v>
      </c>
      <c r="I92" s="1">
        <v>41</v>
      </c>
      <c r="J92" s="1" t="s">
        <v>26</v>
      </c>
      <c r="K92" s="1" t="s">
        <v>39</v>
      </c>
      <c r="L92" s="1" t="s">
        <v>193</v>
      </c>
      <c r="M92" s="1" t="s">
        <v>28</v>
      </c>
      <c r="N92" s="1" t="s">
        <v>904</v>
      </c>
      <c r="O92" s="7">
        <v>39466</v>
      </c>
      <c r="P92" s="1" t="s">
        <v>30</v>
      </c>
      <c r="Q92" s="1" t="s">
        <v>68</v>
      </c>
      <c r="R92" s="1" t="s">
        <v>54</v>
      </c>
      <c r="S92" s="1" t="s">
        <v>32</v>
      </c>
      <c r="T92" s="1" t="s">
        <v>23</v>
      </c>
      <c r="U92" s="1" t="s">
        <v>17</v>
      </c>
      <c r="V92" s="1" t="s">
        <v>905</v>
      </c>
      <c r="W92" s="1" t="s">
        <v>906</v>
      </c>
    </row>
    <row r="93" spans="1:23" ht="15.75" customHeight="1" x14ac:dyDescent="0.35">
      <c r="A93" s="1" t="s">
        <v>907</v>
      </c>
      <c r="B93" s="1" t="s">
        <v>178</v>
      </c>
      <c r="C93" s="1" t="s">
        <v>908</v>
      </c>
      <c r="D93" s="1" t="s">
        <v>909</v>
      </c>
      <c r="E93" s="1" t="s">
        <v>910</v>
      </c>
      <c r="F93" s="1" t="s">
        <v>911</v>
      </c>
      <c r="G93" s="1" t="s">
        <v>24</v>
      </c>
      <c r="H93" s="7">
        <v>28508</v>
      </c>
      <c r="I93" s="1">
        <v>43</v>
      </c>
      <c r="J93" s="1" t="s">
        <v>26</v>
      </c>
      <c r="K93" s="1" t="s">
        <v>15</v>
      </c>
      <c r="L93" s="1" t="s">
        <v>796</v>
      </c>
      <c r="M93" s="1" t="s">
        <v>28</v>
      </c>
      <c r="N93" s="1" t="s">
        <v>912</v>
      </c>
      <c r="O93" s="7">
        <v>39466</v>
      </c>
      <c r="P93" s="1" t="s">
        <v>18</v>
      </c>
      <c r="Q93" s="1" t="s">
        <v>68</v>
      </c>
      <c r="R93" s="1" t="s">
        <v>54</v>
      </c>
      <c r="S93" s="1" t="s">
        <v>32</v>
      </c>
      <c r="T93" s="1" t="s">
        <v>35</v>
      </c>
      <c r="U93" s="1" t="s">
        <v>67</v>
      </c>
      <c r="V93" s="1" t="s">
        <v>913</v>
      </c>
      <c r="W93" s="1" t="s">
        <v>914</v>
      </c>
    </row>
    <row r="94" spans="1:23" ht="15.75" customHeight="1" x14ac:dyDescent="0.35">
      <c r="A94" s="1" t="s">
        <v>915</v>
      </c>
      <c r="B94" s="1" t="s">
        <v>178</v>
      </c>
      <c r="C94" s="1" t="s">
        <v>916</v>
      </c>
      <c r="D94" s="1" t="s">
        <v>917</v>
      </c>
      <c r="E94" s="1" t="s">
        <v>668</v>
      </c>
      <c r="F94" s="1" t="s">
        <v>143</v>
      </c>
      <c r="G94" s="1" t="s">
        <v>24</v>
      </c>
      <c r="H94" s="7">
        <v>30418</v>
      </c>
      <c r="I94" s="1">
        <v>38</v>
      </c>
      <c r="J94" s="1" t="s">
        <v>14</v>
      </c>
      <c r="K94" s="1" t="s">
        <v>39</v>
      </c>
      <c r="L94" s="1" t="s">
        <v>268</v>
      </c>
      <c r="M94" s="1" t="s">
        <v>28</v>
      </c>
      <c r="N94" s="1" t="s">
        <v>918</v>
      </c>
      <c r="O94" s="7">
        <v>39466</v>
      </c>
      <c r="P94" s="1" t="s">
        <v>18</v>
      </c>
      <c r="Q94" s="1" t="s">
        <v>68</v>
      </c>
      <c r="R94" s="1" t="s">
        <v>58</v>
      </c>
      <c r="S94" s="1" t="s">
        <v>32</v>
      </c>
      <c r="T94" s="1" t="s">
        <v>23</v>
      </c>
      <c r="U94" s="1" t="s">
        <v>70</v>
      </c>
      <c r="V94" s="1" t="s">
        <v>919</v>
      </c>
      <c r="W94" s="1" t="s">
        <v>920</v>
      </c>
    </row>
    <row r="95" spans="1:23" ht="15.75" customHeight="1" x14ac:dyDescent="0.35">
      <c r="A95" s="1" t="s">
        <v>921</v>
      </c>
      <c r="B95" s="1" t="s">
        <v>182</v>
      </c>
      <c r="C95" s="1" t="s">
        <v>922</v>
      </c>
      <c r="D95" s="1" t="s">
        <v>923</v>
      </c>
      <c r="E95" s="1" t="s">
        <v>924</v>
      </c>
      <c r="F95" s="1" t="s">
        <v>249</v>
      </c>
      <c r="G95" s="1" t="s">
        <v>13</v>
      </c>
      <c r="H95" s="7">
        <v>31122</v>
      </c>
      <c r="I95" s="1">
        <v>36</v>
      </c>
      <c r="J95" s="1" t="s">
        <v>14</v>
      </c>
      <c r="K95" s="1" t="s">
        <v>39</v>
      </c>
      <c r="L95" s="1" t="s">
        <v>207</v>
      </c>
      <c r="M95" s="1" t="s">
        <v>40</v>
      </c>
      <c r="N95" s="1" t="s">
        <v>250</v>
      </c>
      <c r="O95" s="7">
        <v>39466</v>
      </c>
      <c r="P95" s="1" t="s">
        <v>18</v>
      </c>
      <c r="Q95" s="1" t="s">
        <v>61</v>
      </c>
      <c r="R95" s="1" t="s">
        <v>58</v>
      </c>
      <c r="S95" s="1" t="s">
        <v>32</v>
      </c>
      <c r="T95" s="1" t="s">
        <v>44</v>
      </c>
      <c r="U95" s="1" t="s">
        <v>46</v>
      </c>
      <c r="V95" s="1" t="s">
        <v>925</v>
      </c>
      <c r="W95" s="1" t="s">
        <v>926</v>
      </c>
    </row>
    <row r="96" spans="1:23" ht="15.75" customHeight="1" x14ac:dyDescent="0.35">
      <c r="A96" s="1" t="s">
        <v>927</v>
      </c>
      <c r="B96" s="1" t="s">
        <v>178</v>
      </c>
      <c r="C96" s="1" t="s">
        <v>928</v>
      </c>
      <c r="D96" s="1" t="s">
        <v>929</v>
      </c>
      <c r="E96" s="1" t="s">
        <v>759</v>
      </c>
      <c r="F96" s="1" t="s">
        <v>175</v>
      </c>
      <c r="G96" s="1" t="s">
        <v>24</v>
      </c>
      <c r="H96" s="7">
        <v>27917</v>
      </c>
      <c r="I96" s="1">
        <v>45</v>
      </c>
      <c r="J96" s="1" t="s">
        <v>26</v>
      </c>
      <c r="K96" s="1" t="s">
        <v>15</v>
      </c>
      <c r="L96" s="1" t="s">
        <v>183</v>
      </c>
      <c r="M96" s="1" t="s">
        <v>28</v>
      </c>
      <c r="N96" s="1" t="s">
        <v>930</v>
      </c>
      <c r="O96" s="7">
        <v>39466</v>
      </c>
      <c r="P96" s="1" t="s">
        <v>18</v>
      </c>
      <c r="Q96" s="1" t="s">
        <v>65</v>
      </c>
      <c r="R96" s="1" t="s">
        <v>58</v>
      </c>
      <c r="S96" s="1" t="s">
        <v>32</v>
      </c>
      <c r="T96" s="1" t="s">
        <v>23</v>
      </c>
      <c r="U96" s="1" t="s">
        <v>17</v>
      </c>
      <c r="V96" s="1" t="s">
        <v>931</v>
      </c>
      <c r="W96" s="1" t="s">
        <v>932</v>
      </c>
    </row>
    <row r="97" spans="1:23" ht="15.75" customHeight="1" x14ac:dyDescent="0.35">
      <c r="A97" s="1" t="s">
        <v>933</v>
      </c>
      <c r="B97" s="1" t="s">
        <v>182</v>
      </c>
      <c r="C97" s="1" t="s">
        <v>934</v>
      </c>
      <c r="D97" s="1" t="s">
        <v>935</v>
      </c>
      <c r="E97" s="1" t="s">
        <v>809</v>
      </c>
      <c r="F97" s="1" t="s">
        <v>141</v>
      </c>
      <c r="G97" s="1" t="s">
        <v>13</v>
      </c>
      <c r="H97" s="7">
        <v>27896</v>
      </c>
      <c r="I97" s="1">
        <v>45</v>
      </c>
      <c r="J97" s="1" t="s">
        <v>26</v>
      </c>
      <c r="K97" s="1" t="s">
        <v>15</v>
      </c>
      <c r="L97" s="1" t="s">
        <v>186</v>
      </c>
      <c r="M97" s="1" t="s">
        <v>40</v>
      </c>
      <c r="N97" s="1" t="s">
        <v>936</v>
      </c>
      <c r="O97" s="7">
        <v>39467</v>
      </c>
      <c r="P97" s="1" t="s">
        <v>18</v>
      </c>
      <c r="Q97" s="1" t="s">
        <v>68</v>
      </c>
      <c r="R97" s="1" t="s">
        <v>34</v>
      </c>
      <c r="S97" s="1" t="s">
        <v>32</v>
      </c>
      <c r="T97" s="1" t="s">
        <v>35</v>
      </c>
      <c r="U97" s="1" t="s">
        <v>46</v>
      </c>
      <c r="V97" s="1" t="s">
        <v>937</v>
      </c>
      <c r="W97" s="1" t="s">
        <v>938</v>
      </c>
    </row>
    <row r="98" spans="1:23" ht="15.75" customHeight="1" x14ac:dyDescent="0.35">
      <c r="A98" s="1" t="s">
        <v>939</v>
      </c>
      <c r="B98" s="1" t="s">
        <v>178</v>
      </c>
      <c r="C98" s="1" t="s">
        <v>917</v>
      </c>
      <c r="D98" s="1" t="s">
        <v>940</v>
      </c>
      <c r="E98" s="1" t="s">
        <v>941</v>
      </c>
      <c r="F98" s="1" t="s">
        <v>156</v>
      </c>
      <c r="G98" s="1" t="s">
        <v>24</v>
      </c>
      <c r="H98" s="7">
        <v>24143</v>
      </c>
      <c r="I98" s="1">
        <v>55</v>
      </c>
      <c r="J98" s="1" t="s">
        <v>38</v>
      </c>
      <c r="K98" s="1" t="s">
        <v>39</v>
      </c>
      <c r="L98" s="1" t="s">
        <v>329</v>
      </c>
      <c r="M98" s="1" t="s">
        <v>28</v>
      </c>
      <c r="N98" s="1" t="s">
        <v>942</v>
      </c>
      <c r="O98" s="7">
        <v>39484</v>
      </c>
      <c r="P98" s="1" t="s">
        <v>18</v>
      </c>
      <c r="Q98" s="1" t="s">
        <v>65</v>
      </c>
      <c r="R98" s="1" t="s">
        <v>22</v>
      </c>
      <c r="S98" s="1" t="s">
        <v>32</v>
      </c>
      <c r="T98" s="1" t="s">
        <v>23</v>
      </c>
      <c r="U98" s="1" t="s">
        <v>17</v>
      </c>
      <c r="V98" s="1" t="s">
        <v>943</v>
      </c>
      <c r="W98" s="1" t="s">
        <v>944</v>
      </c>
    </row>
    <row r="99" spans="1:23" ht="15.75" customHeight="1" x14ac:dyDescent="0.35">
      <c r="A99" s="1" t="s">
        <v>945</v>
      </c>
      <c r="B99" s="1" t="s">
        <v>178</v>
      </c>
      <c r="C99" s="1" t="s">
        <v>946</v>
      </c>
      <c r="D99" s="1" t="s">
        <v>947</v>
      </c>
      <c r="E99" s="1" t="s">
        <v>948</v>
      </c>
      <c r="F99" s="1" t="s">
        <v>223</v>
      </c>
      <c r="G99" s="1" t="s">
        <v>24</v>
      </c>
      <c r="H99" s="7">
        <v>29074</v>
      </c>
      <c r="I99" s="1">
        <v>41</v>
      </c>
      <c r="J99" s="1" t="s">
        <v>26</v>
      </c>
      <c r="K99" s="1" t="s">
        <v>39</v>
      </c>
      <c r="L99" s="1" t="s">
        <v>207</v>
      </c>
      <c r="M99" s="1" t="s">
        <v>28</v>
      </c>
      <c r="N99" s="1" t="s">
        <v>224</v>
      </c>
      <c r="O99" s="7">
        <v>39508</v>
      </c>
      <c r="P99" s="1" t="s">
        <v>18</v>
      </c>
      <c r="Q99" s="1" t="s">
        <v>65</v>
      </c>
      <c r="R99" s="1" t="s">
        <v>58</v>
      </c>
      <c r="S99" s="1" t="s">
        <v>32</v>
      </c>
      <c r="T99" s="1" t="s">
        <v>35</v>
      </c>
      <c r="U99" s="1" t="s">
        <v>46</v>
      </c>
      <c r="V99" s="1" t="s">
        <v>949</v>
      </c>
      <c r="W99" s="1" t="s">
        <v>950</v>
      </c>
    </row>
    <row r="100" spans="1:23" ht="15.75" customHeight="1" x14ac:dyDescent="0.35">
      <c r="A100" s="1" t="s">
        <v>951</v>
      </c>
      <c r="B100" s="1" t="s">
        <v>182</v>
      </c>
      <c r="C100" s="1" t="s">
        <v>952</v>
      </c>
      <c r="D100" s="1" t="s">
        <v>809</v>
      </c>
      <c r="E100" s="1" t="s">
        <v>953</v>
      </c>
      <c r="F100" s="1" t="s">
        <v>239</v>
      </c>
      <c r="G100" s="1" t="s">
        <v>13</v>
      </c>
      <c r="H100" s="7">
        <v>27765</v>
      </c>
      <c r="I100" s="1">
        <v>45</v>
      </c>
      <c r="J100" s="1" t="s">
        <v>26</v>
      </c>
      <c r="K100" s="1" t="s">
        <v>15</v>
      </c>
      <c r="L100" s="1" t="s">
        <v>186</v>
      </c>
      <c r="M100" s="1" t="s">
        <v>40</v>
      </c>
      <c r="N100" s="1" t="s">
        <v>240</v>
      </c>
      <c r="O100" s="7">
        <v>39531</v>
      </c>
      <c r="P100" s="1" t="s">
        <v>18</v>
      </c>
      <c r="Q100" s="1" t="s">
        <v>68</v>
      </c>
      <c r="R100" s="1" t="s">
        <v>50</v>
      </c>
      <c r="S100" s="1" t="s">
        <v>32</v>
      </c>
      <c r="T100" s="1" t="s">
        <v>35</v>
      </c>
      <c r="U100" s="1" t="s">
        <v>46</v>
      </c>
      <c r="V100" s="1" t="s">
        <v>954</v>
      </c>
      <c r="W100" s="1" t="s">
        <v>955</v>
      </c>
    </row>
    <row r="101" spans="1:23" ht="15.75" customHeight="1" x14ac:dyDescent="0.35">
      <c r="A101" s="1" t="s">
        <v>956</v>
      </c>
      <c r="B101" s="1" t="s">
        <v>210</v>
      </c>
      <c r="C101" s="1" t="s">
        <v>957</v>
      </c>
      <c r="D101" s="1" t="s">
        <v>958</v>
      </c>
      <c r="E101" s="1" t="s">
        <v>802</v>
      </c>
      <c r="F101" s="1" t="s">
        <v>959</v>
      </c>
      <c r="G101" s="1" t="s">
        <v>24</v>
      </c>
      <c r="H101" s="7">
        <v>29221</v>
      </c>
      <c r="I101" s="1">
        <v>41</v>
      </c>
      <c r="J101" s="1" t="s">
        <v>26</v>
      </c>
      <c r="K101" s="1" t="s">
        <v>39</v>
      </c>
      <c r="L101" s="1" t="s">
        <v>960</v>
      </c>
      <c r="M101" s="1" t="s">
        <v>28</v>
      </c>
      <c r="N101" s="1" t="s">
        <v>961</v>
      </c>
      <c r="O101" s="7">
        <v>39544</v>
      </c>
      <c r="P101" s="1" t="s">
        <v>18</v>
      </c>
      <c r="Q101" s="1" t="s">
        <v>65</v>
      </c>
      <c r="R101" s="1" t="s">
        <v>50</v>
      </c>
      <c r="S101" s="1" t="s">
        <v>32</v>
      </c>
      <c r="T101" s="1" t="s">
        <v>35</v>
      </c>
      <c r="U101" s="1" t="s">
        <v>46</v>
      </c>
      <c r="V101" s="1" t="s">
        <v>962</v>
      </c>
      <c r="W101" s="1" t="s">
        <v>963</v>
      </c>
    </row>
    <row r="102" spans="1:23" ht="15.75" customHeight="1" x14ac:dyDescent="0.35">
      <c r="A102" s="1" t="s">
        <v>964</v>
      </c>
      <c r="B102" s="1" t="s">
        <v>210</v>
      </c>
      <c r="C102" s="1" t="s">
        <v>432</v>
      </c>
      <c r="D102" s="1" t="s">
        <v>326</v>
      </c>
      <c r="E102" s="1" t="s">
        <v>446</v>
      </c>
      <c r="F102" s="1" t="s">
        <v>170</v>
      </c>
      <c r="G102" s="1" t="s">
        <v>24</v>
      </c>
      <c r="H102" s="7">
        <v>29292</v>
      </c>
      <c r="I102" s="1">
        <v>41</v>
      </c>
      <c r="J102" s="1" t="s">
        <v>26</v>
      </c>
      <c r="K102" s="1" t="s">
        <v>39</v>
      </c>
      <c r="L102" s="1" t="s">
        <v>960</v>
      </c>
      <c r="M102" s="1" t="s">
        <v>28</v>
      </c>
      <c r="N102" s="1" t="s">
        <v>965</v>
      </c>
      <c r="O102" s="7">
        <v>39544</v>
      </c>
      <c r="P102" s="1" t="s">
        <v>18</v>
      </c>
      <c r="Q102" s="1" t="s">
        <v>65</v>
      </c>
      <c r="R102" s="1" t="s">
        <v>20</v>
      </c>
      <c r="S102" s="1" t="s">
        <v>20</v>
      </c>
      <c r="T102" s="1" t="s">
        <v>35</v>
      </c>
      <c r="U102" s="1" t="s">
        <v>46</v>
      </c>
      <c r="V102" s="1" t="s">
        <v>966</v>
      </c>
      <c r="W102" s="1" t="s">
        <v>967</v>
      </c>
    </row>
    <row r="103" spans="1:23" ht="15.75" customHeight="1" x14ac:dyDescent="0.35">
      <c r="A103" s="1" t="s">
        <v>968</v>
      </c>
      <c r="B103" s="1" t="s">
        <v>178</v>
      </c>
      <c r="C103" s="1" t="s">
        <v>568</v>
      </c>
      <c r="D103" s="1" t="s">
        <v>455</v>
      </c>
      <c r="E103" s="1" t="s">
        <v>969</v>
      </c>
      <c r="F103" s="1" t="s">
        <v>164</v>
      </c>
      <c r="G103" s="1" t="s">
        <v>24</v>
      </c>
      <c r="H103" s="7">
        <v>30674</v>
      </c>
      <c r="I103" s="1">
        <v>37</v>
      </c>
      <c r="J103" s="1" t="s">
        <v>14</v>
      </c>
      <c r="K103" s="1" t="s">
        <v>39</v>
      </c>
      <c r="L103" s="1" t="s">
        <v>193</v>
      </c>
      <c r="M103" s="1" t="s">
        <v>40</v>
      </c>
      <c r="N103" s="1" t="s">
        <v>970</v>
      </c>
      <c r="O103" s="7">
        <v>39621</v>
      </c>
      <c r="P103" s="1" t="s">
        <v>18</v>
      </c>
      <c r="Q103" s="1" t="s">
        <v>68</v>
      </c>
      <c r="R103" s="1" t="s">
        <v>58</v>
      </c>
      <c r="S103" s="1" t="s">
        <v>32</v>
      </c>
      <c r="T103" s="1" t="s">
        <v>35</v>
      </c>
      <c r="U103" s="1" t="s">
        <v>41</v>
      </c>
      <c r="V103" s="1" t="s">
        <v>971</v>
      </c>
      <c r="W103" s="1" t="s">
        <v>972</v>
      </c>
    </row>
    <row r="104" spans="1:23" ht="15.75" customHeight="1" x14ac:dyDescent="0.35">
      <c r="A104" s="1" t="s">
        <v>973</v>
      </c>
      <c r="B104" s="1" t="s">
        <v>178</v>
      </c>
      <c r="C104" s="1" t="s">
        <v>974</v>
      </c>
      <c r="D104" s="1" t="s">
        <v>975</v>
      </c>
      <c r="E104" s="1" t="s">
        <v>976</v>
      </c>
      <c r="F104" s="1" t="s">
        <v>204</v>
      </c>
      <c r="G104" s="1" t="s">
        <v>24</v>
      </c>
      <c r="H104" s="7">
        <v>31276</v>
      </c>
      <c r="I104" s="1">
        <v>35</v>
      </c>
      <c r="J104" s="1" t="s">
        <v>14</v>
      </c>
      <c r="K104" s="1" t="s">
        <v>27</v>
      </c>
      <c r="L104" s="1" t="s">
        <v>186</v>
      </c>
      <c r="M104" s="1" t="s">
        <v>40</v>
      </c>
      <c r="N104" s="1" t="s">
        <v>205</v>
      </c>
      <c r="O104" s="7">
        <v>39621</v>
      </c>
      <c r="P104" s="1" t="s">
        <v>18</v>
      </c>
      <c r="Q104" s="1" t="s">
        <v>68</v>
      </c>
      <c r="R104" s="1" t="s">
        <v>34</v>
      </c>
      <c r="S104" s="1" t="s">
        <v>32</v>
      </c>
      <c r="T104" s="1" t="s">
        <v>35</v>
      </c>
      <c r="U104" s="1" t="s">
        <v>46</v>
      </c>
      <c r="V104" s="1" t="s">
        <v>977</v>
      </c>
      <c r="W104" s="1" t="s">
        <v>978</v>
      </c>
    </row>
    <row r="105" spans="1:23" ht="15.75" customHeight="1" x14ac:dyDescent="0.35">
      <c r="A105" s="1" t="s">
        <v>979</v>
      </c>
      <c r="B105" s="1" t="s">
        <v>178</v>
      </c>
      <c r="C105" s="1" t="s">
        <v>980</v>
      </c>
      <c r="D105" s="1" t="s">
        <v>981</v>
      </c>
      <c r="E105" s="1" t="s">
        <v>982</v>
      </c>
      <c r="F105" s="1" t="s">
        <v>983</v>
      </c>
      <c r="G105" s="1" t="s">
        <v>24</v>
      </c>
      <c r="H105" s="7">
        <v>29595</v>
      </c>
      <c r="I105" s="1">
        <v>40</v>
      </c>
      <c r="J105" s="1" t="s">
        <v>14</v>
      </c>
      <c r="K105" s="1" t="s">
        <v>39</v>
      </c>
      <c r="L105" s="1" t="s">
        <v>179</v>
      </c>
      <c r="M105" s="1" t="s">
        <v>28</v>
      </c>
      <c r="N105" s="1" t="s">
        <v>984</v>
      </c>
      <c r="O105" s="7">
        <v>39644</v>
      </c>
      <c r="P105" s="1" t="s">
        <v>18</v>
      </c>
      <c r="Q105" s="1" t="s">
        <v>65</v>
      </c>
      <c r="R105" s="1" t="s">
        <v>58</v>
      </c>
      <c r="S105" s="1" t="s">
        <v>32</v>
      </c>
      <c r="T105" s="1" t="s">
        <v>23</v>
      </c>
      <c r="U105" s="1" t="s">
        <v>17</v>
      </c>
      <c r="V105" s="1" t="s">
        <v>985</v>
      </c>
      <c r="W105" s="1" t="s">
        <v>986</v>
      </c>
    </row>
    <row r="106" spans="1:23" ht="15.75" customHeight="1" x14ac:dyDescent="0.35">
      <c r="A106" s="1" t="s">
        <v>987</v>
      </c>
      <c r="B106" s="1" t="s">
        <v>178</v>
      </c>
      <c r="C106" s="1" t="s">
        <v>988</v>
      </c>
      <c r="D106" s="1" t="s">
        <v>989</v>
      </c>
      <c r="E106" s="1" t="s">
        <v>990</v>
      </c>
      <c r="F106" s="1" t="s">
        <v>991</v>
      </c>
      <c r="G106" s="1" t="s">
        <v>24</v>
      </c>
      <c r="H106" s="7">
        <v>28418</v>
      </c>
      <c r="I106" s="1">
        <v>43</v>
      </c>
      <c r="J106" s="1" t="s">
        <v>26</v>
      </c>
      <c r="K106" s="1" t="s">
        <v>15</v>
      </c>
      <c r="L106" s="1" t="s">
        <v>183</v>
      </c>
      <c r="M106" s="1" t="s">
        <v>28</v>
      </c>
      <c r="N106" s="1" t="s">
        <v>992</v>
      </c>
      <c r="O106" s="7">
        <v>39684</v>
      </c>
      <c r="P106" s="1" t="s">
        <v>18</v>
      </c>
      <c r="Q106" s="1" t="s">
        <v>65</v>
      </c>
      <c r="R106" s="1" t="s">
        <v>22</v>
      </c>
      <c r="S106" s="1" t="s">
        <v>32</v>
      </c>
      <c r="T106" s="1" t="s">
        <v>23</v>
      </c>
      <c r="U106" s="1" t="s">
        <v>17</v>
      </c>
      <c r="V106" s="1" t="s">
        <v>993</v>
      </c>
      <c r="W106" s="1" t="s">
        <v>994</v>
      </c>
    </row>
    <row r="107" spans="1:23" ht="15.75" customHeight="1" x14ac:dyDescent="0.35">
      <c r="A107" s="1" t="s">
        <v>995</v>
      </c>
      <c r="B107" s="1" t="s">
        <v>210</v>
      </c>
      <c r="C107" s="1" t="s">
        <v>996</v>
      </c>
      <c r="D107" s="1" t="s">
        <v>997</v>
      </c>
      <c r="E107" s="1" t="s">
        <v>998</v>
      </c>
      <c r="F107" s="1" t="s">
        <v>216</v>
      </c>
      <c r="G107" s="1" t="s">
        <v>24</v>
      </c>
      <c r="H107" s="7">
        <v>29511</v>
      </c>
      <c r="I107" s="1">
        <v>40</v>
      </c>
      <c r="J107" s="1" t="s">
        <v>14</v>
      </c>
      <c r="K107" s="1" t="s">
        <v>15</v>
      </c>
      <c r="L107" s="1" t="s">
        <v>183</v>
      </c>
      <c r="M107" s="1" t="s">
        <v>40</v>
      </c>
      <c r="N107" s="1" t="s">
        <v>217</v>
      </c>
      <c r="O107" s="7">
        <v>39692</v>
      </c>
      <c r="P107" s="1" t="s">
        <v>18</v>
      </c>
      <c r="Q107" s="1" t="s">
        <v>53</v>
      </c>
      <c r="R107" s="1" t="s">
        <v>34</v>
      </c>
      <c r="S107" s="1" t="s">
        <v>32</v>
      </c>
      <c r="T107" s="1" t="s">
        <v>35</v>
      </c>
      <c r="U107" s="1" t="s">
        <v>46</v>
      </c>
      <c r="V107" s="1" t="s">
        <v>999</v>
      </c>
      <c r="W107" s="1" t="s">
        <v>1000</v>
      </c>
    </row>
    <row r="108" spans="1:23" ht="15.75" customHeight="1" x14ac:dyDescent="0.35">
      <c r="A108" s="1" t="s">
        <v>1001</v>
      </c>
      <c r="B108" s="1" t="s">
        <v>182</v>
      </c>
      <c r="C108" s="1" t="s">
        <v>1002</v>
      </c>
      <c r="D108" s="1" t="s">
        <v>1003</v>
      </c>
      <c r="E108" s="1" t="s">
        <v>615</v>
      </c>
      <c r="F108" s="1" t="s">
        <v>1004</v>
      </c>
      <c r="G108" s="1" t="s">
        <v>13</v>
      </c>
      <c r="H108" s="7">
        <v>28392</v>
      </c>
      <c r="I108" s="1">
        <v>43</v>
      </c>
      <c r="J108" s="1" t="s">
        <v>26</v>
      </c>
      <c r="K108" s="1" t="s">
        <v>27</v>
      </c>
      <c r="L108" s="1" t="s">
        <v>186</v>
      </c>
      <c r="M108" s="1" t="s">
        <v>40</v>
      </c>
      <c r="N108" s="1" t="s">
        <v>1005</v>
      </c>
      <c r="O108" s="7">
        <v>39698</v>
      </c>
      <c r="P108" s="1" t="s">
        <v>18</v>
      </c>
      <c r="Q108" s="1" t="s">
        <v>65</v>
      </c>
      <c r="R108" s="1" t="s">
        <v>20</v>
      </c>
      <c r="S108" s="1" t="s">
        <v>20</v>
      </c>
      <c r="T108" s="1" t="s">
        <v>35</v>
      </c>
      <c r="U108" s="1" t="s">
        <v>46</v>
      </c>
      <c r="V108" s="1" t="s">
        <v>1006</v>
      </c>
      <c r="W108" s="1" t="s">
        <v>1007</v>
      </c>
    </row>
    <row r="109" spans="1:23" ht="15.75" customHeight="1" x14ac:dyDescent="0.35">
      <c r="A109" s="1" t="s">
        <v>1008</v>
      </c>
      <c r="B109" s="1" t="s">
        <v>210</v>
      </c>
      <c r="C109" s="1" t="s">
        <v>1009</v>
      </c>
      <c r="D109" s="1" t="s">
        <v>335</v>
      </c>
      <c r="E109" s="1" t="s">
        <v>661</v>
      </c>
      <c r="F109" s="1" t="s">
        <v>167</v>
      </c>
      <c r="G109" s="1" t="s">
        <v>24</v>
      </c>
      <c r="H109" s="7">
        <v>28703</v>
      </c>
      <c r="I109" s="1">
        <v>43</v>
      </c>
      <c r="J109" s="1" t="s">
        <v>26</v>
      </c>
      <c r="K109" s="1" t="s">
        <v>39</v>
      </c>
      <c r="L109" s="1" t="s">
        <v>179</v>
      </c>
      <c r="M109" s="1" t="s">
        <v>28</v>
      </c>
      <c r="N109" s="1" t="s">
        <v>1010</v>
      </c>
      <c r="O109" s="7">
        <v>39698</v>
      </c>
      <c r="P109" s="1" t="s">
        <v>18</v>
      </c>
      <c r="Q109" s="1" t="s">
        <v>65</v>
      </c>
      <c r="R109" s="1" t="s">
        <v>22</v>
      </c>
      <c r="S109" s="1" t="s">
        <v>32</v>
      </c>
      <c r="T109" s="1" t="s">
        <v>23</v>
      </c>
      <c r="U109" s="1" t="s">
        <v>17</v>
      </c>
      <c r="V109" s="1" t="s">
        <v>1011</v>
      </c>
      <c r="W109" s="1" t="s">
        <v>1012</v>
      </c>
    </row>
    <row r="110" spans="1:23" ht="15.75" customHeight="1" x14ac:dyDescent="0.35">
      <c r="A110" s="1" t="s">
        <v>1013</v>
      </c>
      <c r="B110" s="1" t="s">
        <v>178</v>
      </c>
      <c r="C110" s="1" t="s">
        <v>1014</v>
      </c>
      <c r="D110" s="1" t="s">
        <v>1015</v>
      </c>
      <c r="E110" s="1" t="s">
        <v>556</v>
      </c>
      <c r="F110" s="1" t="s">
        <v>144</v>
      </c>
      <c r="G110" s="1" t="s">
        <v>24</v>
      </c>
      <c r="H110" s="7">
        <v>26520</v>
      </c>
      <c r="I110" s="1">
        <v>48</v>
      </c>
      <c r="J110" s="1" t="s">
        <v>26</v>
      </c>
      <c r="K110" s="1" t="s">
        <v>15</v>
      </c>
      <c r="L110" s="1" t="s">
        <v>183</v>
      </c>
      <c r="M110" s="1" t="s">
        <v>28</v>
      </c>
      <c r="N110" s="1" t="s">
        <v>1016</v>
      </c>
      <c r="O110" s="7">
        <v>39726</v>
      </c>
      <c r="P110" s="1" t="s">
        <v>18</v>
      </c>
      <c r="Q110" s="1" t="s">
        <v>65</v>
      </c>
      <c r="R110" s="1" t="s">
        <v>58</v>
      </c>
      <c r="S110" s="1" t="s">
        <v>32</v>
      </c>
      <c r="T110" s="1" t="s">
        <v>35</v>
      </c>
      <c r="U110" s="1" t="s">
        <v>46</v>
      </c>
      <c r="V110" s="1" t="s">
        <v>1017</v>
      </c>
      <c r="W110" s="1" t="s">
        <v>1018</v>
      </c>
    </row>
    <row r="111" spans="1:23" ht="15.75" customHeight="1" x14ac:dyDescent="0.35">
      <c r="A111" s="1" t="s">
        <v>1019</v>
      </c>
      <c r="B111" s="1" t="s">
        <v>178</v>
      </c>
      <c r="C111" s="1" t="s">
        <v>1020</v>
      </c>
      <c r="D111" s="1" t="s">
        <v>377</v>
      </c>
      <c r="E111" s="1" t="s">
        <v>1021</v>
      </c>
      <c r="F111" s="1" t="s">
        <v>198</v>
      </c>
      <c r="G111" s="1" t="s">
        <v>24</v>
      </c>
      <c r="H111" s="7">
        <v>28965</v>
      </c>
      <c r="I111" s="1">
        <v>42</v>
      </c>
      <c r="J111" s="1" t="s">
        <v>26</v>
      </c>
      <c r="K111" s="1" t="s">
        <v>15</v>
      </c>
      <c r="L111" s="1" t="s">
        <v>186</v>
      </c>
      <c r="M111" s="1" t="s">
        <v>40</v>
      </c>
      <c r="N111" s="1" t="s">
        <v>199</v>
      </c>
      <c r="O111" s="7">
        <v>39736</v>
      </c>
      <c r="P111" s="1" t="s">
        <v>18</v>
      </c>
      <c r="Q111" s="1" t="s">
        <v>65</v>
      </c>
      <c r="R111" s="1" t="s">
        <v>22</v>
      </c>
      <c r="S111" s="1" t="s">
        <v>32</v>
      </c>
      <c r="T111" s="1" t="s">
        <v>35</v>
      </c>
      <c r="U111" s="1" t="s">
        <v>46</v>
      </c>
      <c r="V111" s="1" t="s">
        <v>1022</v>
      </c>
      <c r="W111" s="1" t="s">
        <v>1023</v>
      </c>
    </row>
    <row r="112" spans="1:23" ht="15.75" customHeight="1" x14ac:dyDescent="0.35">
      <c r="A112" s="1" t="s">
        <v>1024</v>
      </c>
      <c r="B112" s="1" t="s">
        <v>182</v>
      </c>
      <c r="C112" s="1" t="s">
        <v>1025</v>
      </c>
      <c r="D112" s="1" t="s">
        <v>391</v>
      </c>
      <c r="E112" s="1" t="s">
        <v>1026</v>
      </c>
      <c r="F112" s="1" t="s">
        <v>1027</v>
      </c>
      <c r="G112" s="1" t="s">
        <v>13</v>
      </c>
      <c r="H112" s="7">
        <v>28032</v>
      </c>
      <c r="I112" s="1">
        <v>44</v>
      </c>
      <c r="J112" s="1" t="s">
        <v>26</v>
      </c>
      <c r="K112" s="1" t="s">
        <v>15</v>
      </c>
      <c r="L112" s="1" t="s">
        <v>186</v>
      </c>
      <c r="M112" s="1" t="s">
        <v>16</v>
      </c>
      <c r="N112" s="1" t="s">
        <v>1028</v>
      </c>
      <c r="O112" s="7">
        <v>39761</v>
      </c>
      <c r="P112" s="1" t="s">
        <v>18</v>
      </c>
      <c r="Q112" s="1" t="s">
        <v>65</v>
      </c>
      <c r="R112" s="1" t="s">
        <v>22</v>
      </c>
      <c r="S112" s="1" t="s">
        <v>32</v>
      </c>
      <c r="T112" s="1" t="s">
        <v>35</v>
      </c>
      <c r="U112" s="1" t="s">
        <v>46</v>
      </c>
      <c r="V112" s="1" t="s">
        <v>1029</v>
      </c>
      <c r="W112" s="1" t="s">
        <v>1030</v>
      </c>
    </row>
    <row r="113" spans="1:23" ht="15.75" customHeight="1" x14ac:dyDescent="0.35">
      <c r="A113" s="1" t="s">
        <v>1031</v>
      </c>
      <c r="B113" s="1" t="s">
        <v>178</v>
      </c>
      <c r="C113" s="1" t="s">
        <v>1032</v>
      </c>
      <c r="D113" s="1" t="s">
        <v>455</v>
      </c>
      <c r="E113" s="1" t="s">
        <v>1033</v>
      </c>
      <c r="F113" s="1" t="s">
        <v>168</v>
      </c>
      <c r="G113" s="1" t="s">
        <v>24</v>
      </c>
      <c r="H113" s="7">
        <v>28129</v>
      </c>
      <c r="I113" s="1">
        <v>44</v>
      </c>
      <c r="J113" s="1" t="s">
        <v>26</v>
      </c>
      <c r="K113" s="1" t="s">
        <v>39</v>
      </c>
      <c r="L113" s="1" t="s">
        <v>637</v>
      </c>
      <c r="M113" s="1" t="s">
        <v>28</v>
      </c>
      <c r="N113" s="1" t="s">
        <v>1034</v>
      </c>
      <c r="O113" s="7">
        <v>39783</v>
      </c>
      <c r="P113" s="1" t="s">
        <v>18</v>
      </c>
      <c r="Q113" s="1" t="s">
        <v>65</v>
      </c>
      <c r="R113" s="1" t="s">
        <v>34</v>
      </c>
      <c r="S113" s="1" t="s">
        <v>32</v>
      </c>
      <c r="T113" s="1" t="s">
        <v>23</v>
      </c>
      <c r="U113" s="1" t="s">
        <v>17</v>
      </c>
      <c r="V113" s="1" t="s">
        <v>1035</v>
      </c>
      <c r="W113" s="1" t="s">
        <v>1036</v>
      </c>
    </row>
    <row r="114" spans="1:23" ht="15.75" customHeight="1" x14ac:dyDescent="0.35">
      <c r="A114" s="1" t="s">
        <v>1037</v>
      </c>
      <c r="B114" s="1" t="s">
        <v>178</v>
      </c>
      <c r="C114" s="1" t="s">
        <v>1038</v>
      </c>
      <c r="D114" s="1" t="s">
        <v>1039</v>
      </c>
      <c r="E114" s="1" t="s">
        <v>1040</v>
      </c>
      <c r="F114" s="1" t="s">
        <v>1041</v>
      </c>
      <c r="G114" s="1" t="s">
        <v>24</v>
      </c>
      <c r="H114" s="7">
        <v>29130</v>
      </c>
      <c r="I114" s="1">
        <v>41</v>
      </c>
      <c r="J114" s="1" t="s">
        <v>26</v>
      </c>
      <c r="K114" s="1" t="s">
        <v>39</v>
      </c>
      <c r="L114" s="1" t="s">
        <v>183</v>
      </c>
      <c r="M114" s="1" t="s">
        <v>40</v>
      </c>
      <c r="N114" s="1" t="s">
        <v>1042</v>
      </c>
      <c r="O114" s="7">
        <v>39792</v>
      </c>
      <c r="P114" s="1" t="s">
        <v>18</v>
      </c>
      <c r="Q114" s="1" t="s">
        <v>53</v>
      </c>
      <c r="R114" s="1" t="s">
        <v>34</v>
      </c>
      <c r="S114" s="1" t="s">
        <v>32</v>
      </c>
      <c r="T114" s="1" t="s">
        <v>23</v>
      </c>
      <c r="U114" s="1" t="s">
        <v>46</v>
      </c>
      <c r="V114" s="1" t="s">
        <v>1043</v>
      </c>
      <c r="W114" s="1" t="s">
        <v>1044</v>
      </c>
    </row>
    <row r="115" spans="1:23" ht="15.75" customHeight="1" x14ac:dyDescent="0.35">
      <c r="A115" s="1" t="s">
        <v>1045</v>
      </c>
      <c r="B115" s="1" t="s">
        <v>178</v>
      </c>
      <c r="C115" s="1" t="s">
        <v>1046</v>
      </c>
      <c r="D115" s="1" t="s">
        <v>1047</v>
      </c>
      <c r="E115" s="1" t="s">
        <v>1048</v>
      </c>
      <c r="F115" s="1" t="s">
        <v>218</v>
      </c>
      <c r="G115" s="1" t="s">
        <v>24</v>
      </c>
      <c r="H115" s="7">
        <v>27803</v>
      </c>
      <c r="I115" s="1">
        <v>45</v>
      </c>
      <c r="J115" s="1" t="s">
        <v>26</v>
      </c>
      <c r="K115" s="1" t="s">
        <v>15</v>
      </c>
      <c r="L115" s="1" t="s">
        <v>183</v>
      </c>
      <c r="M115" s="1" t="s">
        <v>28</v>
      </c>
      <c r="N115" s="1" t="s">
        <v>219</v>
      </c>
      <c r="O115" s="7">
        <v>39814</v>
      </c>
      <c r="P115" s="1" t="s">
        <v>18</v>
      </c>
      <c r="Q115" s="1" t="s">
        <v>65</v>
      </c>
      <c r="R115" s="1" t="s">
        <v>58</v>
      </c>
      <c r="S115" s="1" t="s">
        <v>32</v>
      </c>
      <c r="T115" s="1" t="s">
        <v>35</v>
      </c>
      <c r="U115" s="1" t="s">
        <v>46</v>
      </c>
      <c r="V115" s="1" t="s">
        <v>1049</v>
      </c>
      <c r="W115" s="1" t="s">
        <v>1050</v>
      </c>
    </row>
    <row r="116" spans="1:23" ht="15.75" customHeight="1" x14ac:dyDescent="0.35">
      <c r="A116" s="1" t="s">
        <v>1051</v>
      </c>
      <c r="B116" s="1" t="s">
        <v>178</v>
      </c>
      <c r="C116" s="1" t="s">
        <v>1052</v>
      </c>
      <c r="D116" s="1" t="s">
        <v>1053</v>
      </c>
      <c r="E116" s="1" t="s">
        <v>1054</v>
      </c>
      <c r="F116" s="1" t="s">
        <v>247</v>
      </c>
      <c r="G116" s="1" t="s">
        <v>24</v>
      </c>
      <c r="H116" s="7">
        <v>27995</v>
      </c>
      <c r="I116" s="1">
        <v>44</v>
      </c>
      <c r="J116" s="1" t="s">
        <v>26</v>
      </c>
      <c r="K116" s="1" t="s">
        <v>15</v>
      </c>
      <c r="L116" s="1" t="s">
        <v>183</v>
      </c>
      <c r="M116" s="1" t="s">
        <v>40</v>
      </c>
      <c r="N116" s="1" t="s">
        <v>248</v>
      </c>
      <c r="O116" s="7">
        <v>39814</v>
      </c>
      <c r="P116" s="1" t="s">
        <v>18</v>
      </c>
      <c r="Q116" s="1" t="s">
        <v>65</v>
      </c>
      <c r="R116" s="1" t="s">
        <v>22</v>
      </c>
      <c r="S116" s="1" t="s">
        <v>32</v>
      </c>
      <c r="T116" s="1" t="s">
        <v>35</v>
      </c>
      <c r="U116" s="1" t="s">
        <v>46</v>
      </c>
      <c r="V116" s="1" t="s">
        <v>1055</v>
      </c>
      <c r="W116" s="1" t="s">
        <v>1056</v>
      </c>
    </row>
    <row r="117" spans="1:23" ht="15.75" customHeight="1" x14ac:dyDescent="0.35">
      <c r="A117" s="1" t="s">
        <v>1057</v>
      </c>
      <c r="B117" s="1" t="s">
        <v>1058</v>
      </c>
      <c r="C117" s="1" t="s">
        <v>418</v>
      </c>
      <c r="D117" s="1" t="s">
        <v>419</v>
      </c>
      <c r="E117" s="1" t="s">
        <v>420</v>
      </c>
      <c r="F117" s="1" t="s">
        <v>287</v>
      </c>
      <c r="G117" s="1" t="s">
        <v>24</v>
      </c>
      <c r="H117" s="7">
        <v>28004</v>
      </c>
      <c r="I117" s="1">
        <v>49</v>
      </c>
      <c r="J117" s="1" t="s">
        <v>26</v>
      </c>
      <c r="K117" s="1" t="s">
        <v>39</v>
      </c>
      <c r="L117" s="1" t="s">
        <v>183</v>
      </c>
      <c r="M117" s="1" t="s">
        <v>28</v>
      </c>
      <c r="N117" s="1" t="s">
        <v>288</v>
      </c>
      <c r="O117" s="7">
        <v>39833</v>
      </c>
      <c r="P117" s="1" t="s">
        <v>18</v>
      </c>
      <c r="Q117" s="1" t="s">
        <v>53</v>
      </c>
      <c r="R117" s="1" t="s">
        <v>34</v>
      </c>
      <c r="S117" s="1" t="s">
        <v>32</v>
      </c>
      <c r="T117" s="1" t="s">
        <v>23</v>
      </c>
      <c r="U117" s="1" t="s">
        <v>46</v>
      </c>
      <c r="V117" s="1" t="s">
        <v>1059</v>
      </c>
      <c r="W117" s="1" t="s">
        <v>424</v>
      </c>
    </row>
    <row r="118" spans="1:23" ht="15.75" customHeight="1" x14ac:dyDescent="0.35">
      <c r="A118" s="1" t="s">
        <v>1060</v>
      </c>
      <c r="B118" s="1" t="s">
        <v>178</v>
      </c>
      <c r="C118" s="1" t="s">
        <v>1061</v>
      </c>
      <c r="D118" s="1" t="s">
        <v>1062</v>
      </c>
      <c r="E118" s="1" t="s">
        <v>1063</v>
      </c>
      <c r="F118" s="1" t="s">
        <v>253</v>
      </c>
      <c r="G118" s="1" t="s">
        <v>24</v>
      </c>
      <c r="H118" s="7">
        <v>31060</v>
      </c>
      <c r="I118" s="1">
        <v>36</v>
      </c>
      <c r="J118" s="1" t="s">
        <v>14</v>
      </c>
      <c r="K118" s="1" t="s">
        <v>27</v>
      </c>
      <c r="L118" s="1" t="s">
        <v>186</v>
      </c>
      <c r="M118" s="1" t="s">
        <v>40</v>
      </c>
      <c r="N118" s="1" t="s">
        <v>254</v>
      </c>
      <c r="O118" s="7">
        <v>39845</v>
      </c>
      <c r="P118" s="1" t="s">
        <v>18</v>
      </c>
      <c r="Q118" s="1" t="s">
        <v>65</v>
      </c>
      <c r="R118" s="1" t="s">
        <v>22</v>
      </c>
      <c r="S118" s="1" t="s">
        <v>32</v>
      </c>
      <c r="T118" s="1" t="s">
        <v>35</v>
      </c>
      <c r="U118" s="1" t="s">
        <v>46</v>
      </c>
      <c r="V118" s="1" t="s">
        <v>1064</v>
      </c>
      <c r="W118" s="1" t="s">
        <v>1065</v>
      </c>
    </row>
    <row r="119" spans="1:23" ht="15.75" customHeight="1" x14ac:dyDescent="0.35">
      <c r="A119" s="1" t="s">
        <v>1066</v>
      </c>
      <c r="B119" s="1" t="s">
        <v>178</v>
      </c>
      <c r="C119" s="1" t="s">
        <v>1067</v>
      </c>
      <c r="D119" s="1" t="s">
        <v>1068</v>
      </c>
      <c r="E119" s="1" t="s">
        <v>1069</v>
      </c>
      <c r="F119" s="1" t="s">
        <v>146</v>
      </c>
      <c r="G119" s="1" t="s">
        <v>24</v>
      </c>
      <c r="H119" s="7">
        <v>31280</v>
      </c>
      <c r="I119" s="1">
        <v>35</v>
      </c>
      <c r="J119" s="1" t="s">
        <v>14</v>
      </c>
      <c r="K119" s="1" t="s">
        <v>15</v>
      </c>
      <c r="L119" s="1" t="s">
        <v>183</v>
      </c>
      <c r="M119" s="1" t="s">
        <v>40</v>
      </c>
      <c r="N119" s="1" t="s">
        <v>1070</v>
      </c>
      <c r="O119" s="7">
        <v>39845</v>
      </c>
      <c r="P119" s="1" t="s">
        <v>18</v>
      </c>
      <c r="Q119" s="1" t="s">
        <v>65</v>
      </c>
      <c r="R119" s="1" t="s">
        <v>34</v>
      </c>
      <c r="S119" s="1" t="s">
        <v>32</v>
      </c>
      <c r="T119" s="1" t="s">
        <v>23</v>
      </c>
      <c r="U119" s="1" t="s">
        <v>17</v>
      </c>
      <c r="V119" s="1" t="s">
        <v>1071</v>
      </c>
      <c r="W119" s="1" t="s">
        <v>1072</v>
      </c>
    </row>
    <row r="120" spans="1:23" ht="15.75" customHeight="1" x14ac:dyDescent="0.35">
      <c r="A120" s="1" t="s">
        <v>1073</v>
      </c>
      <c r="B120" s="1" t="s">
        <v>178</v>
      </c>
      <c r="C120" s="1" t="s">
        <v>1074</v>
      </c>
      <c r="D120" s="1" t="s">
        <v>1075</v>
      </c>
      <c r="E120" s="1" t="s">
        <v>1076</v>
      </c>
      <c r="F120" s="1" t="s">
        <v>152</v>
      </c>
      <c r="G120" s="1" t="s">
        <v>24</v>
      </c>
      <c r="H120" s="7">
        <v>30682</v>
      </c>
      <c r="I120" s="1">
        <v>37</v>
      </c>
      <c r="J120" s="1" t="s">
        <v>14</v>
      </c>
      <c r="K120" s="1" t="s">
        <v>15</v>
      </c>
      <c r="L120" s="1" t="s">
        <v>183</v>
      </c>
      <c r="M120" s="1" t="s">
        <v>40</v>
      </c>
      <c r="N120" s="1" t="s">
        <v>1077</v>
      </c>
      <c r="O120" s="7">
        <v>39845</v>
      </c>
      <c r="P120" s="1" t="s">
        <v>18</v>
      </c>
      <c r="Q120" s="1" t="s">
        <v>65</v>
      </c>
      <c r="R120" s="1" t="s">
        <v>22</v>
      </c>
      <c r="S120" s="1" t="s">
        <v>32</v>
      </c>
      <c r="T120" s="1" t="s">
        <v>23</v>
      </c>
      <c r="U120" s="1" t="s">
        <v>17</v>
      </c>
      <c r="V120" s="1" t="s">
        <v>1078</v>
      </c>
      <c r="W120" s="1" t="s">
        <v>1079</v>
      </c>
    </row>
    <row r="121" spans="1:23" ht="15.75" customHeight="1" x14ac:dyDescent="0.35">
      <c r="A121" s="1" t="s">
        <v>1080</v>
      </c>
      <c r="B121" s="1" t="s">
        <v>178</v>
      </c>
      <c r="C121" s="1" t="s">
        <v>1081</v>
      </c>
      <c r="D121" s="1" t="s">
        <v>1082</v>
      </c>
      <c r="E121" s="1" t="s">
        <v>1083</v>
      </c>
      <c r="F121" s="1" t="s">
        <v>200</v>
      </c>
      <c r="G121" s="1" t="s">
        <v>24</v>
      </c>
      <c r="H121" s="7">
        <v>31142</v>
      </c>
      <c r="I121" s="1">
        <v>36</v>
      </c>
      <c r="J121" s="1" t="s">
        <v>14</v>
      </c>
      <c r="K121" s="1" t="s">
        <v>27</v>
      </c>
      <c r="L121" s="1" t="s">
        <v>186</v>
      </c>
      <c r="M121" s="1" t="s">
        <v>28</v>
      </c>
      <c r="N121" s="1" t="s">
        <v>201</v>
      </c>
      <c r="O121" s="7">
        <v>39845</v>
      </c>
      <c r="P121" s="1" t="s">
        <v>18</v>
      </c>
      <c r="Q121" s="1" t="s">
        <v>65</v>
      </c>
      <c r="R121" s="1" t="s">
        <v>22</v>
      </c>
      <c r="S121" s="1" t="s">
        <v>32</v>
      </c>
      <c r="T121" s="1" t="s">
        <v>35</v>
      </c>
      <c r="U121" s="1" t="s">
        <v>46</v>
      </c>
      <c r="V121" s="1" t="s">
        <v>1084</v>
      </c>
      <c r="W121" s="1" t="s">
        <v>1085</v>
      </c>
    </row>
    <row r="122" spans="1:23" ht="15.75" customHeight="1" x14ac:dyDescent="0.35">
      <c r="A122" s="1" t="s">
        <v>1086</v>
      </c>
      <c r="B122" s="1" t="s">
        <v>178</v>
      </c>
      <c r="C122" s="1" t="s">
        <v>689</v>
      </c>
      <c r="D122" s="1" t="s">
        <v>809</v>
      </c>
      <c r="E122" s="1" t="s">
        <v>1087</v>
      </c>
      <c r="F122" s="1" t="s">
        <v>188</v>
      </c>
      <c r="G122" s="1" t="s">
        <v>24</v>
      </c>
      <c r="H122" s="7">
        <v>28448</v>
      </c>
      <c r="I122" s="1">
        <v>43</v>
      </c>
      <c r="J122" s="1" t="s">
        <v>26</v>
      </c>
      <c r="K122" s="1" t="s">
        <v>27</v>
      </c>
      <c r="L122" s="1" t="s">
        <v>186</v>
      </c>
      <c r="M122" s="1" t="s">
        <v>28</v>
      </c>
      <c r="N122" s="1" t="s">
        <v>189</v>
      </c>
      <c r="O122" s="7">
        <v>39866</v>
      </c>
      <c r="P122" s="1" t="s">
        <v>18</v>
      </c>
      <c r="Q122" s="1" t="s">
        <v>65</v>
      </c>
      <c r="R122" s="1" t="s">
        <v>34</v>
      </c>
      <c r="S122" s="1" t="s">
        <v>32</v>
      </c>
      <c r="T122" s="1" t="s">
        <v>35</v>
      </c>
      <c r="U122" s="1" t="s">
        <v>46</v>
      </c>
      <c r="V122" s="1" t="s">
        <v>1088</v>
      </c>
      <c r="W122" s="1" t="s">
        <v>1089</v>
      </c>
    </row>
    <row r="123" spans="1:23" ht="15.75" customHeight="1" x14ac:dyDescent="0.35">
      <c r="A123" s="1" t="s">
        <v>1090</v>
      </c>
      <c r="B123" s="1" t="s">
        <v>178</v>
      </c>
      <c r="C123" s="1" t="s">
        <v>1091</v>
      </c>
      <c r="D123" s="1" t="s">
        <v>1092</v>
      </c>
      <c r="E123" s="1" t="s">
        <v>708</v>
      </c>
      <c r="F123" s="1" t="s">
        <v>1093</v>
      </c>
      <c r="G123" s="1" t="s">
        <v>24</v>
      </c>
      <c r="H123" s="7">
        <v>31080</v>
      </c>
      <c r="I123" s="1">
        <v>36</v>
      </c>
      <c r="J123" s="1" t="s">
        <v>14</v>
      </c>
      <c r="K123" s="1" t="s">
        <v>39</v>
      </c>
      <c r="L123" s="1" t="s">
        <v>207</v>
      </c>
      <c r="M123" s="1" t="s">
        <v>40</v>
      </c>
      <c r="N123" s="1" t="s">
        <v>1094</v>
      </c>
      <c r="O123" s="7">
        <v>39873</v>
      </c>
      <c r="P123" s="1" t="s">
        <v>18</v>
      </c>
      <c r="Q123" s="1" t="s">
        <v>53</v>
      </c>
      <c r="R123" s="1" t="s">
        <v>34</v>
      </c>
      <c r="S123" s="1" t="s">
        <v>32</v>
      </c>
      <c r="T123" s="1" t="s">
        <v>23</v>
      </c>
      <c r="U123" s="1" t="s">
        <v>17</v>
      </c>
      <c r="V123" s="1" t="s">
        <v>1095</v>
      </c>
      <c r="W123" s="1" t="s">
        <v>1096</v>
      </c>
    </row>
    <row r="124" spans="1:23" ht="15.75" customHeight="1" x14ac:dyDescent="0.35">
      <c r="A124" s="1" t="s">
        <v>1097</v>
      </c>
      <c r="B124" s="1" t="s">
        <v>210</v>
      </c>
      <c r="C124" s="1" t="s">
        <v>1098</v>
      </c>
      <c r="D124" s="1" t="s">
        <v>326</v>
      </c>
      <c r="E124" s="1" t="s">
        <v>1099</v>
      </c>
      <c r="F124" s="1" t="s">
        <v>283</v>
      </c>
      <c r="G124" s="1" t="s">
        <v>24</v>
      </c>
      <c r="H124" s="7">
        <v>30344</v>
      </c>
      <c r="I124" s="1">
        <v>38</v>
      </c>
      <c r="J124" s="1" t="s">
        <v>14</v>
      </c>
      <c r="K124" s="1" t="s">
        <v>39</v>
      </c>
      <c r="L124" s="1" t="s">
        <v>260</v>
      </c>
      <c r="M124" s="1" t="s">
        <v>28</v>
      </c>
      <c r="N124" s="1" t="s">
        <v>284</v>
      </c>
      <c r="O124" s="7">
        <v>39880</v>
      </c>
      <c r="P124" s="1" t="s">
        <v>18</v>
      </c>
      <c r="Q124" s="1" t="s">
        <v>65</v>
      </c>
      <c r="R124" s="1" t="s">
        <v>34</v>
      </c>
      <c r="S124" s="1" t="s">
        <v>32</v>
      </c>
      <c r="T124" s="1" t="s">
        <v>23</v>
      </c>
      <c r="U124" s="1" t="s">
        <v>17</v>
      </c>
      <c r="V124" s="1" t="s">
        <v>1100</v>
      </c>
      <c r="W124" s="1" t="s">
        <v>1101</v>
      </c>
    </row>
    <row r="125" spans="1:23" ht="15.75" customHeight="1" x14ac:dyDescent="0.35">
      <c r="A125" s="1" t="s">
        <v>1102</v>
      </c>
      <c r="B125" s="1" t="s">
        <v>182</v>
      </c>
      <c r="C125" s="1" t="s">
        <v>1103</v>
      </c>
      <c r="D125" s="1" t="s">
        <v>895</v>
      </c>
      <c r="E125" s="1" t="s">
        <v>1104</v>
      </c>
      <c r="F125" s="1" t="s">
        <v>237</v>
      </c>
      <c r="G125" s="1" t="s">
        <v>13</v>
      </c>
      <c r="H125" s="7">
        <v>28014</v>
      </c>
      <c r="I125" s="1">
        <v>44</v>
      </c>
      <c r="J125" s="1" t="s">
        <v>26</v>
      </c>
      <c r="K125" s="1" t="s">
        <v>39</v>
      </c>
      <c r="L125" s="1" t="s">
        <v>186</v>
      </c>
      <c r="M125" s="1" t="s">
        <v>40</v>
      </c>
      <c r="N125" s="1" t="s">
        <v>238</v>
      </c>
      <c r="O125" s="7">
        <v>39908</v>
      </c>
      <c r="P125" s="1" t="s">
        <v>18</v>
      </c>
      <c r="Q125" s="1" t="s">
        <v>65</v>
      </c>
      <c r="R125" s="1" t="s">
        <v>22</v>
      </c>
      <c r="S125" s="1" t="s">
        <v>32</v>
      </c>
      <c r="T125" s="1" t="s">
        <v>35</v>
      </c>
      <c r="U125" s="1" t="s">
        <v>46</v>
      </c>
      <c r="V125" s="1" t="s">
        <v>1105</v>
      </c>
      <c r="W125" s="1" t="s">
        <v>1106</v>
      </c>
    </row>
    <row r="126" spans="1:23" ht="15.75" customHeight="1" x14ac:dyDescent="0.35">
      <c r="A126" s="1" t="s">
        <v>1107</v>
      </c>
      <c r="B126" s="1" t="s">
        <v>178</v>
      </c>
      <c r="C126" s="1" t="s">
        <v>870</v>
      </c>
      <c r="D126" s="1" t="s">
        <v>1108</v>
      </c>
      <c r="E126" s="1" t="s">
        <v>326</v>
      </c>
      <c r="F126" s="1" t="s">
        <v>276</v>
      </c>
      <c r="G126" s="1" t="s">
        <v>24</v>
      </c>
      <c r="H126" s="7">
        <v>31215</v>
      </c>
      <c r="I126" s="1">
        <v>36</v>
      </c>
      <c r="J126" s="1" t="s">
        <v>14</v>
      </c>
      <c r="K126" s="1" t="s">
        <v>39</v>
      </c>
      <c r="L126" s="1" t="s">
        <v>193</v>
      </c>
      <c r="M126" s="1" t="s">
        <v>40</v>
      </c>
      <c r="N126" s="1" t="s">
        <v>277</v>
      </c>
      <c r="O126" s="7">
        <v>39908</v>
      </c>
      <c r="P126" s="1" t="s">
        <v>18</v>
      </c>
      <c r="Q126" s="1" t="s">
        <v>65</v>
      </c>
      <c r="R126" s="1" t="s">
        <v>22</v>
      </c>
      <c r="S126" s="1" t="s">
        <v>32</v>
      </c>
      <c r="T126" s="1" t="s">
        <v>35</v>
      </c>
      <c r="U126" s="1" t="s">
        <v>46</v>
      </c>
      <c r="V126" s="1" t="s">
        <v>1109</v>
      </c>
      <c r="W126" s="1" t="s">
        <v>1110</v>
      </c>
    </row>
    <row r="127" spans="1:23" ht="15.75" customHeight="1" x14ac:dyDescent="0.35">
      <c r="A127" s="1" t="s">
        <v>1111</v>
      </c>
      <c r="B127" s="1" t="s">
        <v>178</v>
      </c>
      <c r="C127" s="1" t="s">
        <v>1112</v>
      </c>
      <c r="D127" s="1" t="s">
        <v>1113</v>
      </c>
      <c r="E127" s="1" t="s">
        <v>1114</v>
      </c>
      <c r="F127" s="1" t="s">
        <v>134</v>
      </c>
      <c r="G127" s="1" t="s">
        <v>24</v>
      </c>
      <c r="H127" s="7">
        <v>27984</v>
      </c>
      <c r="I127" s="1">
        <v>44</v>
      </c>
      <c r="J127" s="1" t="s">
        <v>26</v>
      </c>
      <c r="K127" s="1" t="s">
        <v>39</v>
      </c>
      <c r="L127" s="1" t="s">
        <v>179</v>
      </c>
      <c r="M127" s="1" t="s">
        <v>28</v>
      </c>
      <c r="N127" s="1" t="s">
        <v>1115</v>
      </c>
      <c r="O127" s="7">
        <v>39929</v>
      </c>
      <c r="P127" s="1" t="s">
        <v>18</v>
      </c>
      <c r="Q127" s="1" t="s">
        <v>53</v>
      </c>
      <c r="R127" s="1" t="s">
        <v>34</v>
      </c>
      <c r="S127" s="1" t="s">
        <v>32</v>
      </c>
      <c r="T127" s="1" t="s">
        <v>23</v>
      </c>
      <c r="U127" s="1" t="s">
        <v>17</v>
      </c>
      <c r="V127" s="1" t="s">
        <v>1116</v>
      </c>
      <c r="W127" s="1" t="s">
        <v>1117</v>
      </c>
    </row>
    <row r="128" spans="1:23" ht="15.75" customHeight="1" x14ac:dyDescent="0.35">
      <c r="A128" s="1" t="s">
        <v>1118</v>
      </c>
      <c r="B128" s="1" t="s">
        <v>178</v>
      </c>
      <c r="C128" s="1" t="s">
        <v>317</v>
      </c>
      <c r="D128" s="1" t="s">
        <v>433</v>
      </c>
      <c r="E128" s="1" t="s">
        <v>432</v>
      </c>
      <c r="F128" s="1" t="s">
        <v>1119</v>
      </c>
      <c r="G128" s="1" t="s">
        <v>24</v>
      </c>
      <c r="H128" s="7">
        <v>30182</v>
      </c>
      <c r="I128" s="1">
        <v>38</v>
      </c>
      <c r="J128" s="1" t="s">
        <v>14</v>
      </c>
      <c r="K128" s="1" t="s">
        <v>39</v>
      </c>
      <c r="L128" s="1" t="s">
        <v>193</v>
      </c>
      <c r="M128" s="1" t="s">
        <v>40</v>
      </c>
      <c r="N128" s="1" t="s">
        <v>1120</v>
      </c>
      <c r="O128" s="7">
        <v>39965</v>
      </c>
      <c r="P128" s="1" t="s">
        <v>18</v>
      </c>
      <c r="Q128" s="1" t="s">
        <v>65</v>
      </c>
      <c r="R128" s="1" t="s">
        <v>22</v>
      </c>
      <c r="S128" s="1" t="s">
        <v>32</v>
      </c>
      <c r="T128" s="1" t="s">
        <v>35</v>
      </c>
      <c r="U128" s="1" t="s">
        <v>46</v>
      </c>
      <c r="V128" s="1" t="s">
        <v>1121</v>
      </c>
      <c r="W128" s="1" t="s">
        <v>1122</v>
      </c>
    </row>
    <row r="129" spans="1:23" ht="15.75" customHeight="1" x14ac:dyDescent="0.35">
      <c r="A129" s="1" t="s">
        <v>1123</v>
      </c>
      <c r="B129" s="1" t="s">
        <v>178</v>
      </c>
      <c r="C129" s="1" t="s">
        <v>512</v>
      </c>
      <c r="D129" s="1" t="s">
        <v>1108</v>
      </c>
      <c r="E129" s="1" t="s">
        <v>1124</v>
      </c>
      <c r="F129" s="1" t="s">
        <v>172</v>
      </c>
      <c r="G129" s="1" t="s">
        <v>24</v>
      </c>
      <c r="H129" s="7">
        <v>31143</v>
      </c>
      <c r="I129" s="1">
        <v>36</v>
      </c>
      <c r="J129" s="1" t="s">
        <v>14</v>
      </c>
      <c r="K129" s="1" t="s">
        <v>39</v>
      </c>
      <c r="L129" s="1" t="s">
        <v>179</v>
      </c>
      <c r="M129" s="1" t="s">
        <v>28</v>
      </c>
      <c r="N129" s="1" t="s">
        <v>1125</v>
      </c>
      <c r="O129" s="7">
        <v>39965</v>
      </c>
      <c r="P129" s="1" t="s">
        <v>18</v>
      </c>
      <c r="Q129" s="1" t="s">
        <v>65</v>
      </c>
      <c r="R129" s="1" t="s">
        <v>22</v>
      </c>
      <c r="S129" s="1" t="s">
        <v>32</v>
      </c>
      <c r="T129" s="1" t="s">
        <v>23</v>
      </c>
      <c r="U129" s="1" t="s">
        <v>17</v>
      </c>
      <c r="V129" s="1" t="s">
        <v>1126</v>
      </c>
      <c r="W129" s="1" t="s">
        <v>1127</v>
      </c>
    </row>
    <row r="130" spans="1:23" ht="15.75" customHeight="1" x14ac:dyDescent="0.35">
      <c r="A130" s="1" t="s">
        <v>1128</v>
      </c>
      <c r="B130" s="1" t="s">
        <v>178</v>
      </c>
      <c r="C130" s="1" t="s">
        <v>1124</v>
      </c>
      <c r="D130" s="1" t="s">
        <v>432</v>
      </c>
      <c r="E130" s="1" t="s">
        <v>890</v>
      </c>
      <c r="F130" s="1" t="s">
        <v>227</v>
      </c>
      <c r="G130" s="1" t="s">
        <v>24</v>
      </c>
      <c r="H130" s="7">
        <v>29488</v>
      </c>
      <c r="I130" s="1">
        <v>40</v>
      </c>
      <c r="J130" s="1" t="s">
        <v>14</v>
      </c>
      <c r="K130" s="1" t="s">
        <v>39</v>
      </c>
      <c r="L130" s="1" t="s">
        <v>179</v>
      </c>
      <c r="M130" s="1" t="s">
        <v>28</v>
      </c>
      <c r="N130" s="1" t="s">
        <v>228</v>
      </c>
      <c r="O130" s="7">
        <v>39995</v>
      </c>
      <c r="P130" s="1" t="s">
        <v>18</v>
      </c>
      <c r="Q130" s="1" t="s">
        <v>53</v>
      </c>
      <c r="R130" s="1" t="s">
        <v>34</v>
      </c>
      <c r="S130" s="1" t="s">
        <v>32</v>
      </c>
      <c r="T130" s="1" t="s">
        <v>23</v>
      </c>
      <c r="U130" s="1" t="s">
        <v>17</v>
      </c>
      <c r="V130" s="1" t="s">
        <v>1129</v>
      </c>
      <c r="W130" s="1" t="s">
        <v>1130</v>
      </c>
    </row>
    <row r="131" spans="1:23" ht="15.75" customHeight="1" x14ac:dyDescent="0.35">
      <c r="A131" s="1" t="s">
        <v>1131</v>
      </c>
      <c r="B131" s="1" t="s">
        <v>178</v>
      </c>
      <c r="C131" s="1" t="s">
        <v>1132</v>
      </c>
      <c r="D131" s="1" t="s">
        <v>1133</v>
      </c>
      <c r="E131" s="1" t="s">
        <v>432</v>
      </c>
      <c r="F131" s="1" t="s">
        <v>1134</v>
      </c>
      <c r="G131" s="1" t="s">
        <v>24</v>
      </c>
      <c r="H131" s="7">
        <v>19090</v>
      </c>
      <c r="I131" s="1">
        <v>69</v>
      </c>
      <c r="J131" s="1" t="s">
        <v>38</v>
      </c>
      <c r="K131" s="1" t="s">
        <v>39</v>
      </c>
      <c r="L131" s="1" t="s">
        <v>193</v>
      </c>
      <c r="M131" s="1" t="s">
        <v>28</v>
      </c>
      <c r="N131" s="1" t="s">
        <v>1135</v>
      </c>
      <c r="O131" s="7">
        <v>40002</v>
      </c>
      <c r="P131" s="1" t="s">
        <v>18</v>
      </c>
      <c r="Q131" s="1" t="s">
        <v>65</v>
      </c>
      <c r="R131" s="1" t="s">
        <v>34</v>
      </c>
      <c r="S131" s="1" t="s">
        <v>32</v>
      </c>
      <c r="T131" s="1" t="s">
        <v>35</v>
      </c>
      <c r="U131" s="1" t="s">
        <v>46</v>
      </c>
      <c r="V131" s="1" t="s">
        <v>1136</v>
      </c>
      <c r="W131" s="1" t="s">
        <v>1137</v>
      </c>
    </row>
    <row r="132" spans="1:23" ht="15.75" customHeight="1" x14ac:dyDescent="0.35">
      <c r="A132" s="1" t="s">
        <v>1138</v>
      </c>
      <c r="B132" s="1" t="s">
        <v>178</v>
      </c>
      <c r="C132" s="1" t="s">
        <v>433</v>
      </c>
      <c r="D132" s="1" t="s">
        <v>1139</v>
      </c>
      <c r="E132" s="1" t="s">
        <v>1140</v>
      </c>
      <c r="F132" s="1" t="s">
        <v>202</v>
      </c>
      <c r="G132" s="1" t="s">
        <v>24</v>
      </c>
      <c r="H132" s="7">
        <v>21708</v>
      </c>
      <c r="I132" s="1">
        <v>62</v>
      </c>
      <c r="J132" s="1" t="s">
        <v>38</v>
      </c>
      <c r="K132" s="1" t="s">
        <v>15</v>
      </c>
      <c r="L132" s="1" t="s">
        <v>193</v>
      </c>
      <c r="M132" s="1" t="s">
        <v>28</v>
      </c>
      <c r="N132" s="1" t="s">
        <v>203</v>
      </c>
      <c r="O132" s="7">
        <v>40002</v>
      </c>
      <c r="P132" s="1" t="s">
        <v>18</v>
      </c>
      <c r="Q132" s="1" t="s">
        <v>65</v>
      </c>
      <c r="R132" s="1" t="s">
        <v>22</v>
      </c>
      <c r="S132" s="1" t="s">
        <v>32</v>
      </c>
      <c r="T132" s="1" t="s">
        <v>35</v>
      </c>
      <c r="U132" s="1" t="s">
        <v>46</v>
      </c>
      <c r="V132" s="1" t="s">
        <v>1141</v>
      </c>
      <c r="W132" s="1" t="s">
        <v>1142</v>
      </c>
    </row>
    <row r="133" spans="1:23" ht="15.75" customHeight="1" x14ac:dyDescent="0.35">
      <c r="A133" s="1" t="s">
        <v>1143</v>
      </c>
      <c r="B133" s="1" t="s">
        <v>1058</v>
      </c>
      <c r="C133" s="1" t="s">
        <v>1144</v>
      </c>
      <c r="D133" s="1" t="s">
        <v>432</v>
      </c>
      <c r="E133" s="1" t="s">
        <v>446</v>
      </c>
      <c r="F133" s="1" t="s">
        <v>195</v>
      </c>
      <c r="G133" s="1" t="s">
        <v>24</v>
      </c>
      <c r="H133" s="7">
        <v>28628</v>
      </c>
      <c r="I133" s="1">
        <v>43</v>
      </c>
      <c r="J133" s="1" t="s">
        <v>26</v>
      </c>
      <c r="K133" s="1" t="s">
        <v>39</v>
      </c>
      <c r="L133" s="1" t="s">
        <v>196</v>
      </c>
      <c r="M133" s="1" t="s">
        <v>28</v>
      </c>
      <c r="N133" s="1" t="s">
        <v>197</v>
      </c>
      <c r="O133" s="7">
        <v>40009</v>
      </c>
      <c r="P133" s="1" t="s">
        <v>18</v>
      </c>
      <c r="Q133" s="1" t="s">
        <v>65</v>
      </c>
      <c r="R133" s="1" t="s">
        <v>34</v>
      </c>
      <c r="S133" s="1" t="s">
        <v>32</v>
      </c>
      <c r="T133" s="1" t="s">
        <v>23</v>
      </c>
      <c r="U133" s="1" t="s">
        <v>17</v>
      </c>
      <c r="V133" s="1" t="s">
        <v>1145</v>
      </c>
      <c r="W133" s="1" t="s">
        <v>1146</v>
      </c>
    </row>
    <row r="134" spans="1:23" ht="15.75" customHeight="1" x14ac:dyDescent="0.35">
      <c r="A134" s="1" t="s">
        <v>1147</v>
      </c>
      <c r="B134" s="1" t="s">
        <v>178</v>
      </c>
      <c r="C134" s="1" t="s">
        <v>1144</v>
      </c>
      <c r="D134" s="1" t="s">
        <v>1148</v>
      </c>
      <c r="E134" s="1" t="s">
        <v>1149</v>
      </c>
      <c r="F134" s="1" t="s">
        <v>192</v>
      </c>
      <c r="G134" s="1" t="s">
        <v>24</v>
      </c>
      <c r="H134" s="7">
        <v>29094</v>
      </c>
      <c r="I134" s="1">
        <v>41</v>
      </c>
      <c r="J134" s="1" t="s">
        <v>26</v>
      </c>
      <c r="K134" s="1" t="s">
        <v>39</v>
      </c>
      <c r="L134" s="1" t="s">
        <v>193</v>
      </c>
      <c r="M134" s="1" t="s">
        <v>28</v>
      </c>
      <c r="N134" s="1" t="s">
        <v>194</v>
      </c>
      <c r="O134" s="7">
        <v>40020</v>
      </c>
      <c r="P134" s="1" t="s">
        <v>18</v>
      </c>
      <c r="Q134" s="1" t="s">
        <v>65</v>
      </c>
      <c r="R134" s="1" t="s">
        <v>22</v>
      </c>
      <c r="S134" s="1" t="s">
        <v>32</v>
      </c>
      <c r="T134" s="1" t="s">
        <v>35</v>
      </c>
      <c r="U134" s="1" t="s">
        <v>46</v>
      </c>
      <c r="V134" s="1" t="s">
        <v>1150</v>
      </c>
      <c r="W134" s="1" t="s">
        <v>1151</v>
      </c>
    </row>
    <row r="135" spans="1:23" ht="15.75" customHeight="1" x14ac:dyDescent="0.35">
      <c r="A135" s="1" t="s">
        <v>1152</v>
      </c>
      <c r="B135" s="1" t="s">
        <v>182</v>
      </c>
      <c r="C135" s="1" t="s">
        <v>461</v>
      </c>
      <c r="D135" s="1" t="s">
        <v>1153</v>
      </c>
      <c r="E135" s="1" t="s">
        <v>1154</v>
      </c>
      <c r="F135" s="1" t="s">
        <v>264</v>
      </c>
      <c r="G135" s="1" t="s">
        <v>13</v>
      </c>
      <c r="H135" s="7">
        <v>30776</v>
      </c>
      <c r="I135" s="1">
        <v>37</v>
      </c>
      <c r="J135" s="1" t="s">
        <v>14</v>
      </c>
      <c r="K135" s="1" t="s">
        <v>39</v>
      </c>
      <c r="L135" s="1" t="s">
        <v>265</v>
      </c>
      <c r="M135" s="1" t="s">
        <v>28</v>
      </c>
      <c r="N135" s="1" t="s">
        <v>266</v>
      </c>
      <c r="O135" s="7">
        <v>40026</v>
      </c>
      <c r="P135" s="1" t="s">
        <v>18</v>
      </c>
      <c r="Q135" s="1" t="s">
        <v>42</v>
      </c>
      <c r="R135" s="1" t="s">
        <v>20</v>
      </c>
      <c r="S135" s="1" t="s">
        <v>20</v>
      </c>
      <c r="T135" s="1" t="s">
        <v>44</v>
      </c>
      <c r="U135" s="1" t="s">
        <v>46</v>
      </c>
      <c r="V135" s="1" t="s">
        <v>1155</v>
      </c>
      <c r="W135" s="1" t="s">
        <v>1156</v>
      </c>
    </row>
    <row r="136" spans="1:23" ht="15.75" customHeight="1" x14ac:dyDescent="0.35">
      <c r="A136" s="1" t="s">
        <v>1157</v>
      </c>
      <c r="B136" s="1" t="s">
        <v>178</v>
      </c>
      <c r="C136" s="1" t="s">
        <v>326</v>
      </c>
      <c r="D136" s="1" t="s">
        <v>1158</v>
      </c>
      <c r="E136" s="1" t="s">
        <v>1159</v>
      </c>
      <c r="F136" s="1" t="s">
        <v>1160</v>
      </c>
      <c r="G136" s="1" t="s">
        <v>24</v>
      </c>
      <c r="H136" s="7">
        <v>31132</v>
      </c>
      <c r="I136" s="1">
        <v>36</v>
      </c>
      <c r="J136" s="1" t="s">
        <v>14</v>
      </c>
      <c r="K136" s="1" t="s">
        <v>39</v>
      </c>
      <c r="L136" s="1" t="s">
        <v>179</v>
      </c>
      <c r="M136" s="1" t="s">
        <v>28</v>
      </c>
      <c r="N136" s="1" t="s">
        <v>1161</v>
      </c>
      <c r="O136" s="7">
        <v>40026</v>
      </c>
      <c r="P136" s="1" t="s">
        <v>18</v>
      </c>
      <c r="Q136" s="1" t="s">
        <v>65</v>
      </c>
      <c r="R136" s="1" t="s">
        <v>34</v>
      </c>
      <c r="S136" s="1" t="s">
        <v>32</v>
      </c>
      <c r="T136" s="1" t="s">
        <v>35</v>
      </c>
      <c r="U136" s="1" t="s">
        <v>46</v>
      </c>
      <c r="V136" s="1" t="s">
        <v>1162</v>
      </c>
      <c r="W136" s="1" t="s">
        <v>1163</v>
      </c>
    </row>
    <row r="137" spans="1:23" ht="15.75" customHeight="1" x14ac:dyDescent="0.35">
      <c r="A137" s="1" t="s">
        <v>1164</v>
      </c>
      <c r="B137" s="1" t="s">
        <v>178</v>
      </c>
      <c r="C137" s="1" t="s">
        <v>1165</v>
      </c>
      <c r="D137" s="1" t="s">
        <v>1166</v>
      </c>
      <c r="E137" s="1" t="s">
        <v>1167</v>
      </c>
      <c r="F137" s="1" t="s">
        <v>133</v>
      </c>
      <c r="G137" s="1" t="s">
        <v>24</v>
      </c>
      <c r="H137" s="7">
        <v>26986</v>
      </c>
      <c r="I137" s="1">
        <v>47</v>
      </c>
      <c r="J137" s="1" t="s">
        <v>26</v>
      </c>
      <c r="K137" s="1" t="s">
        <v>39</v>
      </c>
      <c r="L137" s="1" t="s">
        <v>207</v>
      </c>
      <c r="M137" s="1" t="s">
        <v>28</v>
      </c>
      <c r="N137" s="1" t="s">
        <v>1168</v>
      </c>
      <c r="O137" s="7">
        <v>40026</v>
      </c>
      <c r="P137" s="1" t="s">
        <v>18</v>
      </c>
      <c r="Q137" s="1" t="s">
        <v>65</v>
      </c>
      <c r="R137" s="1" t="s">
        <v>22</v>
      </c>
      <c r="S137" s="1" t="s">
        <v>32</v>
      </c>
      <c r="T137" s="1" t="s">
        <v>35</v>
      </c>
      <c r="U137" s="1" t="s">
        <v>46</v>
      </c>
      <c r="V137" s="1" t="s">
        <v>1169</v>
      </c>
      <c r="W137" s="1" t="s">
        <v>1170</v>
      </c>
    </row>
    <row r="138" spans="1:23" ht="15.75" customHeight="1" x14ac:dyDescent="0.35">
      <c r="A138" s="1" t="s">
        <v>1171</v>
      </c>
      <c r="B138" s="1" t="s">
        <v>178</v>
      </c>
      <c r="C138" s="1" t="s">
        <v>1172</v>
      </c>
      <c r="D138" s="1" t="s">
        <v>1173</v>
      </c>
      <c r="E138" s="1" t="s">
        <v>432</v>
      </c>
      <c r="F138" s="1" t="s">
        <v>177</v>
      </c>
      <c r="G138" s="1" t="s">
        <v>24</v>
      </c>
      <c r="H138" s="7">
        <v>28694</v>
      </c>
      <c r="I138" s="1">
        <v>43</v>
      </c>
      <c r="J138" s="1" t="s">
        <v>26</v>
      </c>
      <c r="K138" s="1" t="s">
        <v>39</v>
      </c>
      <c r="L138" s="1" t="s">
        <v>179</v>
      </c>
      <c r="M138" s="1" t="s">
        <v>40</v>
      </c>
      <c r="N138" s="1" t="s">
        <v>180</v>
      </c>
      <c r="O138" s="7">
        <v>40057</v>
      </c>
      <c r="P138" s="1" t="s">
        <v>18</v>
      </c>
      <c r="Q138" s="1" t="s">
        <v>65</v>
      </c>
      <c r="R138" s="1" t="s">
        <v>22</v>
      </c>
      <c r="S138" s="1" t="s">
        <v>32</v>
      </c>
      <c r="T138" s="1" t="s">
        <v>23</v>
      </c>
      <c r="U138" s="1" t="s">
        <v>17</v>
      </c>
      <c r="V138" s="1" t="s">
        <v>1174</v>
      </c>
      <c r="W138" s="1" t="s">
        <v>1175</v>
      </c>
    </row>
    <row r="139" spans="1:23" ht="15.75" customHeight="1" x14ac:dyDescent="0.35">
      <c r="A139" s="1" t="s">
        <v>1176</v>
      </c>
      <c r="B139" s="1" t="s">
        <v>178</v>
      </c>
      <c r="C139" s="1" t="s">
        <v>1114</v>
      </c>
      <c r="D139" s="1" t="s">
        <v>1177</v>
      </c>
      <c r="E139" s="1" t="s">
        <v>801</v>
      </c>
      <c r="F139" s="1" t="s">
        <v>233</v>
      </c>
      <c r="G139" s="1" t="s">
        <v>24</v>
      </c>
      <c r="H139" s="7">
        <v>26497</v>
      </c>
      <c r="I139" s="1">
        <v>49</v>
      </c>
      <c r="J139" s="1" t="s">
        <v>26</v>
      </c>
      <c r="K139" s="1" t="s">
        <v>39</v>
      </c>
      <c r="L139" s="1" t="s">
        <v>193</v>
      </c>
      <c r="M139" s="1" t="s">
        <v>28</v>
      </c>
      <c r="N139" s="1" t="s">
        <v>234</v>
      </c>
      <c r="O139" s="7">
        <v>40087</v>
      </c>
      <c r="P139" s="1" t="s">
        <v>18</v>
      </c>
      <c r="Q139" s="1" t="s">
        <v>65</v>
      </c>
      <c r="R139" s="1" t="s">
        <v>22</v>
      </c>
      <c r="S139" s="1" t="s">
        <v>32</v>
      </c>
      <c r="T139" s="1" t="s">
        <v>35</v>
      </c>
      <c r="U139" s="1" t="s">
        <v>46</v>
      </c>
      <c r="V139" s="1" t="s">
        <v>1178</v>
      </c>
      <c r="W139" s="1" t="s">
        <v>1179</v>
      </c>
    </row>
    <row r="140" spans="1:23" ht="15.75" customHeight="1" x14ac:dyDescent="0.35">
      <c r="A140" s="1" t="s">
        <v>1180</v>
      </c>
      <c r="B140" s="1" t="s">
        <v>178</v>
      </c>
      <c r="C140" s="1" t="s">
        <v>1181</v>
      </c>
      <c r="D140" s="1" t="s">
        <v>1182</v>
      </c>
      <c r="E140" s="1" t="s">
        <v>500</v>
      </c>
      <c r="F140" s="1" t="s">
        <v>1183</v>
      </c>
      <c r="G140" s="1" t="s">
        <v>24</v>
      </c>
      <c r="H140" s="7">
        <v>30580</v>
      </c>
      <c r="I140" s="1">
        <v>37</v>
      </c>
      <c r="J140" s="1" t="s">
        <v>14</v>
      </c>
      <c r="K140" s="1" t="s">
        <v>15</v>
      </c>
      <c r="L140" s="1" t="s">
        <v>193</v>
      </c>
      <c r="M140" s="1" t="s">
        <v>40</v>
      </c>
      <c r="N140" s="1" t="s">
        <v>1184</v>
      </c>
      <c r="O140" s="7">
        <v>40118</v>
      </c>
      <c r="P140" s="1" t="s">
        <v>18</v>
      </c>
      <c r="Q140" s="1" t="s">
        <v>65</v>
      </c>
      <c r="R140" s="1" t="s">
        <v>34</v>
      </c>
      <c r="S140" s="1" t="s">
        <v>32</v>
      </c>
      <c r="T140" s="1" t="s">
        <v>35</v>
      </c>
      <c r="U140" s="1" t="s">
        <v>46</v>
      </c>
      <c r="V140" s="1" t="s">
        <v>1185</v>
      </c>
      <c r="W140" s="1" t="s">
        <v>1186</v>
      </c>
    </row>
    <row r="141" spans="1:23" ht="15.75" customHeight="1" x14ac:dyDescent="0.35">
      <c r="A141" s="1" t="s">
        <v>1187</v>
      </c>
      <c r="B141" s="1" t="s">
        <v>178</v>
      </c>
      <c r="C141" s="1" t="s">
        <v>525</v>
      </c>
      <c r="D141" s="1" t="s">
        <v>1188</v>
      </c>
      <c r="E141" s="1" t="s">
        <v>902</v>
      </c>
      <c r="F141" s="1" t="s">
        <v>161</v>
      </c>
      <c r="G141" s="1" t="s">
        <v>24</v>
      </c>
      <c r="H141" s="7">
        <v>31474</v>
      </c>
      <c r="I141" s="1">
        <v>35</v>
      </c>
      <c r="J141" s="1" t="s">
        <v>14</v>
      </c>
      <c r="K141" s="1" t="s">
        <v>39</v>
      </c>
      <c r="L141" s="1" t="s">
        <v>193</v>
      </c>
      <c r="M141" s="1" t="s">
        <v>40</v>
      </c>
      <c r="N141" s="1" t="s">
        <v>1189</v>
      </c>
      <c r="O141" s="7">
        <v>40118</v>
      </c>
      <c r="P141" s="1" t="s">
        <v>18</v>
      </c>
      <c r="Q141" s="1" t="s">
        <v>65</v>
      </c>
      <c r="R141" s="1" t="s">
        <v>22</v>
      </c>
      <c r="S141" s="1" t="s">
        <v>32</v>
      </c>
      <c r="T141" s="1" t="s">
        <v>35</v>
      </c>
      <c r="U141" s="1" t="s">
        <v>46</v>
      </c>
      <c r="V141" s="1" t="s">
        <v>1190</v>
      </c>
      <c r="W141" s="1" t="s">
        <v>1191</v>
      </c>
    </row>
    <row r="142" spans="1:23" ht="15.75" customHeight="1" x14ac:dyDescent="0.35">
      <c r="A142" s="1" t="s">
        <v>1192</v>
      </c>
      <c r="B142" s="1" t="s">
        <v>178</v>
      </c>
      <c r="C142" s="1" t="s">
        <v>486</v>
      </c>
      <c r="D142" s="1" t="s">
        <v>1193</v>
      </c>
      <c r="E142" s="1" t="s">
        <v>1194</v>
      </c>
      <c r="F142" s="1" t="s">
        <v>225</v>
      </c>
      <c r="G142" s="1" t="s">
        <v>24</v>
      </c>
      <c r="H142" s="7">
        <v>30638</v>
      </c>
      <c r="I142" s="1">
        <v>37</v>
      </c>
      <c r="J142" s="1" t="s">
        <v>14</v>
      </c>
      <c r="K142" s="1" t="s">
        <v>39</v>
      </c>
      <c r="L142" s="1" t="s">
        <v>193</v>
      </c>
      <c r="M142" s="1" t="s">
        <v>40</v>
      </c>
      <c r="N142" s="1" t="s">
        <v>226</v>
      </c>
      <c r="O142" s="7">
        <v>40118</v>
      </c>
      <c r="P142" s="1" t="s">
        <v>18</v>
      </c>
      <c r="Q142" s="1" t="s">
        <v>65</v>
      </c>
      <c r="R142" s="1" t="s">
        <v>22</v>
      </c>
      <c r="S142" s="1" t="s">
        <v>32</v>
      </c>
      <c r="T142" s="1" t="s">
        <v>35</v>
      </c>
      <c r="U142" s="1" t="s">
        <v>46</v>
      </c>
      <c r="V142" s="1" t="s">
        <v>1195</v>
      </c>
      <c r="W142" s="1" t="s">
        <v>1196</v>
      </c>
    </row>
    <row r="143" spans="1:23" ht="15.75" customHeight="1" x14ac:dyDescent="0.35">
      <c r="A143" s="1" t="s">
        <v>1197</v>
      </c>
      <c r="B143" s="1" t="s">
        <v>178</v>
      </c>
      <c r="C143" s="1" t="s">
        <v>1198</v>
      </c>
      <c r="D143" s="1" t="s">
        <v>1199</v>
      </c>
      <c r="E143" s="1" t="s">
        <v>312</v>
      </c>
      <c r="F143" s="1" t="s">
        <v>1200</v>
      </c>
      <c r="G143" s="1" t="s">
        <v>24</v>
      </c>
      <c r="H143" s="7">
        <v>31323</v>
      </c>
      <c r="I143" s="1">
        <v>35</v>
      </c>
      <c r="J143" s="1" t="s">
        <v>14</v>
      </c>
      <c r="K143" s="1" t="s">
        <v>39</v>
      </c>
      <c r="L143" s="1" t="s">
        <v>193</v>
      </c>
      <c r="M143" s="1" t="s">
        <v>40</v>
      </c>
      <c r="N143" s="1" t="s">
        <v>1201</v>
      </c>
      <c r="O143" s="7">
        <v>40125</v>
      </c>
      <c r="P143" s="1" t="s">
        <v>18</v>
      </c>
      <c r="Q143" s="1" t="s">
        <v>65</v>
      </c>
      <c r="R143" s="1" t="s">
        <v>34</v>
      </c>
      <c r="S143" s="1" t="s">
        <v>32</v>
      </c>
      <c r="T143" s="1" t="s">
        <v>35</v>
      </c>
      <c r="U143" s="1" t="s">
        <v>46</v>
      </c>
      <c r="V143" s="1" t="s">
        <v>1202</v>
      </c>
      <c r="W143" s="1" t="s">
        <v>1203</v>
      </c>
    </row>
    <row r="144" spans="1:23" ht="15.75" customHeight="1" x14ac:dyDescent="0.35">
      <c r="A144" s="1" t="s">
        <v>1204</v>
      </c>
      <c r="B144" s="1" t="s">
        <v>182</v>
      </c>
      <c r="C144" s="1" t="s">
        <v>1205</v>
      </c>
      <c r="D144" s="1" t="s">
        <v>1206</v>
      </c>
      <c r="E144" s="1" t="s">
        <v>1207</v>
      </c>
      <c r="F144" s="1" t="s">
        <v>174</v>
      </c>
      <c r="G144" s="1" t="s">
        <v>13</v>
      </c>
      <c r="H144" s="7">
        <v>30877</v>
      </c>
      <c r="I144" s="1">
        <v>37</v>
      </c>
      <c r="J144" s="1" t="s">
        <v>14</v>
      </c>
      <c r="K144" s="1" t="s">
        <v>39</v>
      </c>
      <c r="L144" s="1" t="s">
        <v>186</v>
      </c>
      <c r="M144" s="1" t="s">
        <v>40</v>
      </c>
      <c r="N144" s="1" t="s">
        <v>1208</v>
      </c>
      <c r="O144" s="7">
        <v>40125</v>
      </c>
      <c r="P144" s="1" t="s">
        <v>18</v>
      </c>
      <c r="Q144" s="1" t="s">
        <v>42</v>
      </c>
      <c r="R144" s="1" t="s">
        <v>34</v>
      </c>
      <c r="S144" s="1" t="s">
        <v>32</v>
      </c>
      <c r="T144" s="1" t="s">
        <v>44</v>
      </c>
      <c r="U144" s="1" t="s">
        <v>46</v>
      </c>
      <c r="V144" s="1" t="s">
        <v>1209</v>
      </c>
      <c r="W144" s="1" t="s">
        <v>1210</v>
      </c>
    </row>
    <row r="145" spans="1:23" ht="15.75" customHeight="1" x14ac:dyDescent="0.35">
      <c r="A145" s="1" t="s">
        <v>1211</v>
      </c>
      <c r="B145" s="1" t="s">
        <v>178</v>
      </c>
      <c r="C145" s="1" t="s">
        <v>1212</v>
      </c>
      <c r="D145" s="1" t="s">
        <v>1213</v>
      </c>
      <c r="E145" s="1" t="s">
        <v>1214</v>
      </c>
      <c r="F145" s="1" t="s">
        <v>214</v>
      </c>
      <c r="G145" s="1" t="s">
        <v>24</v>
      </c>
      <c r="H145" s="7">
        <v>31204</v>
      </c>
      <c r="I145" s="1">
        <v>36</v>
      </c>
      <c r="J145" s="1" t="s">
        <v>14</v>
      </c>
      <c r="K145" s="1" t="s">
        <v>15</v>
      </c>
      <c r="L145" s="1" t="s">
        <v>183</v>
      </c>
      <c r="M145" s="1" t="s">
        <v>40</v>
      </c>
      <c r="N145" s="1" t="s">
        <v>215</v>
      </c>
      <c r="O145" s="7">
        <v>40125</v>
      </c>
      <c r="P145" s="1" t="s">
        <v>18</v>
      </c>
      <c r="Q145" s="1" t="s">
        <v>65</v>
      </c>
      <c r="R145" s="1" t="s">
        <v>34</v>
      </c>
      <c r="S145" s="1" t="s">
        <v>32</v>
      </c>
      <c r="T145" s="1" t="s">
        <v>23</v>
      </c>
      <c r="U145" s="1" t="s">
        <v>17</v>
      </c>
      <c r="V145" s="1" t="s">
        <v>1215</v>
      </c>
      <c r="W145" s="1" t="s">
        <v>1216</v>
      </c>
    </row>
    <row r="146" spans="1:23" ht="15.75" customHeight="1" x14ac:dyDescent="0.35">
      <c r="A146" s="1" t="s">
        <v>1217</v>
      </c>
      <c r="B146" s="1" t="s">
        <v>178</v>
      </c>
      <c r="C146" s="1" t="s">
        <v>326</v>
      </c>
      <c r="D146" s="1" t="s">
        <v>432</v>
      </c>
      <c r="E146" s="1" t="s">
        <v>890</v>
      </c>
      <c r="F146" s="1" t="s">
        <v>1218</v>
      </c>
      <c r="G146" s="1" t="s">
        <v>24</v>
      </c>
      <c r="H146" s="7">
        <v>29561</v>
      </c>
      <c r="I146" s="1">
        <v>40</v>
      </c>
      <c r="J146" s="1" t="s">
        <v>14</v>
      </c>
      <c r="K146" s="1" t="s">
        <v>39</v>
      </c>
      <c r="L146" s="1" t="s">
        <v>193</v>
      </c>
      <c r="M146" s="1" t="s">
        <v>40</v>
      </c>
      <c r="N146" s="1" t="s">
        <v>1219</v>
      </c>
      <c r="O146" s="7">
        <v>40132</v>
      </c>
      <c r="P146" s="1" t="s">
        <v>18</v>
      </c>
      <c r="Q146" s="1" t="s">
        <v>65</v>
      </c>
      <c r="R146" s="1" t="s">
        <v>22</v>
      </c>
      <c r="S146" s="1" t="s">
        <v>32</v>
      </c>
      <c r="T146" s="1" t="s">
        <v>35</v>
      </c>
      <c r="U146" s="1" t="s">
        <v>46</v>
      </c>
      <c r="V146" s="1" t="s">
        <v>1220</v>
      </c>
      <c r="W146" s="1" t="s">
        <v>1221</v>
      </c>
    </row>
    <row r="147" spans="1:23" ht="15.75" customHeight="1" x14ac:dyDescent="0.35">
      <c r="A147" s="1" t="s">
        <v>1222</v>
      </c>
      <c r="B147" s="1" t="s">
        <v>178</v>
      </c>
      <c r="C147" s="1" t="s">
        <v>1223</v>
      </c>
      <c r="D147" s="1" t="s">
        <v>326</v>
      </c>
      <c r="E147" s="1" t="s">
        <v>486</v>
      </c>
      <c r="F147" s="1" t="s">
        <v>135</v>
      </c>
      <c r="G147" s="1" t="s">
        <v>24</v>
      </c>
      <c r="H147" s="7">
        <v>31590</v>
      </c>
      <c r="I147" s="1">
        <v>35</v>
      </c>
      <c r="J147" s="1" t="s">
        <v>14</v>
      </c>
      <c r="K147" s="1" t="s">
        <v>39</v>
      </c>
      <c r="L147" s="1" t="s">
        <v>179</v>
      </c>
      <c r="M147" s="1" t="s">
        <v>40</v>
      </c>
      <c r="N147" s="1" t="s">
        <v>1224</v>
      </c>
      <c r="O147" s="7">
        <v>40132</v>
      </c>
      <c r="P147" s="1" t="s">
        <v>18</v>
      </c>
      <c r="Q147" s="1" t="s">
        <v>65</v>
      </c>
      <c r="R147" s="1" t="s">
        <v>22</v>
      </c>
      <c r="S147" s="1" t="s">
        <v>32</v>
      </c>
      <c r="T147" s="1" t="s">
        <v>23</v>
      </c>
      <c r="U147" s="1" t="s">
        <v>17</v>
      </c>
      <c r="V147" s="1" t="s">
        <v>1225</v>
      </c>
      <c r="W147" s="1" t="s">
        <v>1226</v>
      </c>
    </row>
    <row r="148" spans="1:23" ht="15.75" customHeight="1" x14ac:dyDescent="0.35">
      <c r="A148" s="1" t="s">
        <v>1227</v>
      </c>
      <c r="B148" s="1" t="s">
        <v>178</v>
      </c>
      <c r="C148" s="1" t="s">
        <v>1228</v>
      </c>
      <c r="D148" s="1" t="s">
        <v>1229</v>
      </c>
      <c r="E148" s="1" t="s">
        <v>1230</v>
      </c>
      <c r="F148" s="1" t="s">
        <v>169</v>
      </c>
      <c r="G148" s="1" t="s">
        <v>24</v>
      </c>
      <c r="H148" s="7">
        <v>32005</v>
      </c>
      <c r="I148" s="1">
        <v>33</v>
      </c>
      <c r="J148" s="1" t="s">
        <v>14</v>
      </c>
      <c r="K148" s="1" t="s">
        <v>39</v>
      </c>
      <c r="L148" s="1" t="s">
        <v>193</v>
      </c>
      <c r="M148" s="1" t="s">
        <v>40</v>
      </c>
      <c r="N148" s="1" t="s">
        <v>1231</v>
      </c>
      <c r="O148" s="7">
        <v>40132</v>
      </c>
      <c r="P148" s="1" t="s">
        <v>18</v>
      </c>
      <c r="Q148" s="1" t="s">
        <v>65</v>
      </c>
      <c r="R148" s="1" t="s">
        <v>22</v>
      </c>
      <c r="S148" s="1" t="s">
        <v>32</v>
      </c>
      <c r="T148" s="1" t="s">
        <v>35</v>
      </c>
      <c r="U148" s="1" t="s">
        <v>46</v>
      </c>
      <c r="V148" s="1" t="s">
        <v>1232</v>
      </c>
      <c r="W148" s="1" t="s">
        <v>1233</v>
      </c>
    </row>
    <row r="149" spans="1:23" ht="15.75" customHeight="1" x14ac:dyDescent="0.35">
      <c r="A149" s="1" t="s">
        <v>1234</v>
      </c>
      <c r="B149" s="1" t="s">
        <v>210</v>
      </c>
      <c r="C149" s="1" t="s">
        <v>447</v>
      </c>
      <c r="D149" s="1" t="s">
        <v>432</v>
      </c>
      <c r="E149" s="1" t="s">
        <v>903</v>
      </c>
      <c r="F149" s="1" t="s">
        <v>1235</v>
      </c>
      <c r="G149" s="1" t="s">
        <v>24</v>
      </c>
      <c r="H149" s="7">
        <v>23445</v>
      </c>
      <c r="I149" s="1">
        <v>57</v>
      </c>
      <c r="J149" s="1" t="s">
        <v>38</v>
      </c>
      <c r="K149" s="1" t="s">
        <v>39</v>
      </c>
      <c r="L149" s="1" t="s">
        <v>196</v>
      </c>
      <c r="M149" s="1" t="s">
        <v>28</v>
      </c>
      <c r="N149" s="1" t="s">
        <v>1236</v>
      </c>
      <c r="O149" s="7">
        <v>40179</v>
      </c>
      <c r="P149" s="1" t="s">
        <v>18</v>
      </c>
      <c r="Q149" s="1" t="s">
        <v>65</v>
      </c>
      <c r="R149" s="1" t="s">
        <v>22</v>
      </c>
      <c r="S149" s="1" t="s">
        <v>32</v>
      </c>
      <c r="T149" s="1" t="s">
        <v>35</v>
      </c>
      <c r="U149" s="1" t="s">
        <v>46</v>
      </c>
      <c r="V149" s="1" t="s">
        <v>1237</v>
      </c>
      <c r="W149" s="1" t="s">
        <v>1238</v>
      </c>
    </row>
    <row r="150" spans="1:23" ht="15.75" customHeight="1" x14ac:dyDescent="0.35">
      <c r="A150" s="1" t="s">
        <v>1222</v>
      </c>
      <c r="B150" s="1" t="s">
        <v>178</v>
      </c>
      <c r="C150" s="1" t="s">
        <v>1223</v>
      </c>
      <c r="D150" s="1" t="s">
        <v>326</v>
      </c>
      <c r="E150" s="1" t="s">
        <v>486</v>
      </c>
      <c r="F150" s="1" t="s">
        <v>135</v>
      </c>
      <c r="G150" s="1" t="s">
        <v>24</v>
      </c>
      <c r="H150" s="7">
        <v>31590</v>
      </c>
      <c r="I150" s="1">
        <v>35</v>
      </c>
      <c r="J150" s="1" t="s">
        <v>14</v>
      </c>
      <c r="K150" s="1" t="s">
        <v>39</v>
      </c>
      <c r="L150" s="1" t="s">
        <v>179</v>
      </c>
      <c r="M150" s="1" t="s">
        <v>40</v>
      </c>
      <c r="N150" s="1" t="s">
        <v>1224</v>
      </c>
      <c r="O150" s="7">
        <v>40132</v>
      </c>
      <c r="P150" s="1" t="s">
        <v>18</v>
      </c>
      <c r="Q150" s="1" t="s">
        <v>65</v>
      </c>
      <c r="R150" s="1" t="s">
        <v>22</v>
      </c>
      <c r="S150" s="1" t="s">
        <v>32</v>
      </c>
      <c r="T150" s="1" t="s">
        <v>23</v>
      </c>
      <c r="U150" s="1" t="s">
        <v>17</v>
      </c>
      <c r="V150" s="1" t="s">
        <v>1225</v>
      </c>
      <c r="W150" s="1" t="s">
        <v>1226</v>
      </c>
    </row>
    <row r="151" spans="1:23" ht="15.75" customHeight="1" x14ac:dyDescent="0.35">
      <c r="A151" s="1" t="s">
        <v>1227</v>
      </c>
      <c r="B151" s="1" t="s">
        <v>178</v>
      </c>
      <c r="C151" s="1" t="s">
        <v>1228</v>
      </c>
      <c r="D151" s="1" t="s">
        <v>1229</v>
      </c>
      <c r="E151" s="1" t="s">
        <v>1230</v>
      </c>
      <c r="F151" s="1" t="s">
        <v>169</v>
      </c>
      <c r="G151" s="1" t="s">
        <v>24</v>
      </c>
      <c r="H151" s="7">
        <v>32005</v>
      </c>
      <c r="I151" s="1">
        <v>33</v>
      </c>
      <c r="J151" s="1" t="s">
        <v>14</v>
      </c>
      <c r="K151" s="1" t="s">
        <v>39</v>
      </c>
      <c r="L151" s="1" t="s">
        <v>193</v>
      </c>
      <c r="M151" s="1" t="s">
        <v>40</v>
      </c>
      <c r="N151" s="1" t="s">
        <v>1231</v>
      </c>
      <c r="O151" s="7">
        <v>40132</v>
      </c>
      <c r="P151" s="1" t="s">
        <v>18</v>
      </c>
      <c r="Q151" s="1" t="s">
        <v>65</v>
      </c>
      <c r="R151" s="1" t="s">
        <v>22</v>
      </c>
      <c r="S151" s="1" t="s">
        <v>32</v>
      </c>
      <c r="T151" s="1" t="s">
        <v>35</v>
      </c>
      <c r="U151" s="1" t="s">
        <v>46</v>
      </c>
      <c r="V151" s="1" t="s">
        <v>1232</v>
      </c>
      <c r="W151" s="1" t="s">
        <v>1233</v>
      </c>
    </row>
    <row r="152" spans="1:23" ht="15.75" customHeight="1" x14ac:dyDescent="0.35">
      <c r="A152" s="1" t="s">
        <v>1234</v>
      </c>
      <c r="B152" s="1" t="s">
        <v>210</v>
      </c>
      <c r="C152" s="1" t="s">
        <v>447</v>
      </c>
      <c r="D152" s="1" t="s">
        <v>432</v>
      </c>
      <c r="E152" s="1" t="s">
        <v>903</v>
      </c>
      <c r="F152" s="1" t="s">
        <v>1235</v>
      </c>
      <c r="G152" s="1" t="s">
        <v>24</v>
      </c>
      <c r="H152" s="7">
        <v>23445</v>
      </c>
      <c r="I152" s="1">
        <v>57</v>
      </c>
      <c r="J152" s="1" t="s">
        <v>38</v>
      </c>
      <c r="K152" s="1" t="s">
        <v>39</v>
      </c>
      <c r="L152" s="1" t="s">
        <v>196</v>
      </c>
      <c r="M152" s="1" t="s">
        <v>28</v>
      </c>
      <c r="N152" s="1" t="s">
        <v>1236</v>
      </c>
      <c r="O152" s="7">
        <v>40179</v>
      </c>
      <c r="P152" s="1" t="s">
        <v>18</v>
      </c>
      <c r="Q152" s="1" t="s">
        <v>65</v>
      </c>
      <c r="R152" s="1" t="s">
        <v>22</v>
      </c>
      <c r="S152" s="1" t="s">
        <v>32</v>
      </c>
      <c r="T152" s="1" t="s">
        <v>35</v>
      </c>
      <c r="U152" s="1" t="s">
        <v>46</v>
      </c>
      <c r="V152" s="1" t="s">
        <v>1237</v>
      </c>
      <c r="W152" s="1" t="s">
        <v>1238</v>
      </c>
    </row>
    <row r="153" spans="1:23" ht="15.75" customHeight="1" x14ac:dyDescent="0.35"/>
    <row r="154" spans="1:23" ht="15.75" customHeight="1" x14ac:dyDescent="0.35"/>
    <row r="155" spans="1:23" ht="15.75" customHeight="1" x14ac:dyDescent="0.35"/>
    <row r="156" spans="1:23" ht="15.75" customHeight="1" x14ac:dyDescent="0.35"/>
    <row r="157" spans="1:23" ht="15.75" customHeight="1" x14ac:dyDescent="0.35"/>
    <row r="158" spans="1:23" ht="15.75" customHeight="1" x14ac:dyDescent="0.35"/>
    <row r="159" spans="1:23" ht="15.75" customHeight="1" x14ac:dyDescent="0.35"/>
    <row r="160" spans="1:23"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hyperlinks>
    <hyperlink ref="W28" r:id="rId1" xr:uid="{00000000-0004-0000-0400-000000000000}"/>
    <hyperlink ref="W30" r:id="rId2" xr:uid="{00000000-0004-0000-0400-000001000000}"/>
    <hyperlink ref="W32" r:id="rId3" xr:uid="{00000000-0004-0000-0400-000002000000}"/>
    <hyperlink ref="W35" r:id="rId4" xr:uid="{00000000-0004-0000-0400-000003000000}"/>
    <hyperlink ref="W63" r:id="rId5" xr:uid="{00000000-0004-0000-0400-000004000000}"/>
    <hyperlink ref="W64" r:id="rId6" xr:uid="{00000000-0004-0000-0400-000005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 1</vt:lpstr>
      <vt:lpstr>Analysis 1</vt:lpstr>
      <vt:lpstr>Search 1</vt:lpstr>
      <vt:lpstr>Data</vt:lpstr>
      <vt:lpstr>Range_search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Analyst</dc:creator>
  <cp:lastModifiedBy>shashank</cp:lastModifiedBy>
  <dcterms:created xsi:type="dcterms:W3CDTF">2021-08-02T11:31:08Z</dcterms:created>
  <dcterms:modified xsi:type="dcterms:W3CDTF">2022-12-26T17:31:01Z</dcterms:modified>
</cp:coreProperties>
</file>